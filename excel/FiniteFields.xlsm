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Dropbox\bitcoin\courses\Bitcoin &amp; Blockchain Technology\excel\"/>
    </mc:Choice>
  </mc:AlternateContent>
  <xr:revisionPtr revIDLastSave="0" documentId="13_ncr:1_{B20285AD-6CB1-4513-A205-6A0C4722A898}" xr6:coauthVersionLast="32" xr6:coauthVersionMax="32" xr10:uidLastSave="{00000000-0000-0000-0000-000000000000}"/>
  <bookViews>
    <workbookView xWindow="19070" yWindow="-20" windowWidth="19130" windowHeight="11690" activeTab="2" xr2:uid="{00000000-000D-0000-FFFF-FFFF00000000}"/>
  </bookViews>
  <sheets>
    <sheet name="F3" sheetId="8" r:id="rId1"/>
    <sheet name="F5" sheetId="7" r:id="rId2"/>
    <sheet name="F7" sheetId="5" r:id="rId3"/>
    <sheet name="F11" sheetId="6" r:id="rId4"/>
  </sheets>
  <functionGroups builtInGroupCount="19"/>
  <definedNames>
    <definedName name="prime" localSheetId="3">'F11'!$A$1</definedName>
    <definedName name="prime" localSheetId="0">'F3'!$A$1</definedName>
    <definedName name="prime" localSheetId="1">'F5'!$A$1</definedName>
    <definedName name="prime" localSheetId="2">'F7'!$A$1</definedName>
    <definedName name="prime">#REF!</definedName>
  </definedNames>
  <calcPr calcId="179017"/>
</workbook>
</file>

<file path=xl/calcChain.xml><?xml version="1.0" encoding="utf-8"?>
<calcChain xmlns="http://schemas.openxmlformats.org/spreadsheetml/2006/main">
  <c r="B2" i="6" l="1"/>
  <c r="G2" i="6" s="1"/>
  <c r="B2" i="5"/>
  <c r="G2" i="5" s="1"/>
  <c r="B4" i="6"/>
  <c r="B5" i="6"/>
  <c r="B6" i="6"/>
  <c r="B7" i="6"/>
  <c r="B8" i="6"/>
  <c r="B9" i="6"/>
  <c r="B10" i="6"/>
  <c r="B11" i="6"/>
  <c r="B12" i="6"/>
  <c r="B3" i="6"/>
  <c r="B4" i="5"/>
  <c r="B5" i="5"/>
  <c r="B6" i="5"/>
  <c r="B7" i="5"/>
  <c r="B8" i="5"/>
  <c r="B3" i="5"/>
  <c r="B3" i="7"/>
  <c r="B4" i="7"/>
  <c r="B5" i="7"/>
  <c r="B6" i="7"/>
  <c r="B2" i="7"/>
  <c r="G2" i="7" s="1"/>
  <c r="B4" i="8"/>
  <c r="B3" i="8"/>
  <c r="B2" i="8"/>
  <c r="G2" i="8" s="1"/>
  <c r="C2" i="8"/>
  <c r="D4" i="6"/>
  <c r="D2" i="6"/>
  <c r="C2" i="6"/>
  <c r="C2" i="5"/>
  <c r="D2" i="5"/>
  <c r="C2" i="7"/>
  <c r="D2" i="7"/>
  <c r="D2" i="8"/>
  <c r="E4" i="6" l="1"/>
  <c r="E2" i="8"/>
  <c r="J2" i="8" s="1"/>
  <c r="H2" i="6"/>
  <c r="E2" i="6"/>
  <c r="J2" i="6" s="1"/>
  <c r="I2" i="6"/>
  <c r="E2" i="5"/>
  <c r="J2" i="5" s="1"/>
  <c r="I2" i="5"/>
  <c r="H2" i="5"/>
  <c r="E2" i="7"/>
  <c r="J2" i="7" s="1"/>
  <c r="I2" i="7"/>
  <c r="H2" i="7"/>
  <c r="H2" i="8"/>
  <c r="I2" i="8"/>
  <c r="D3" i="8"/>
  <c r="C4" i="7"/>
  <c r="D5" i="7"/>
  <c r="C3" i="5"/>
  <c r="D5" i="5"/>
  <c r="C7" i="5"/>
  <c r="D11" i="6"/>
  <c r="D10" i="6"/>
  <c r="C6" i="6"/>
  <c r="C8" i="6"/>
  <c r="C5" i="6"/>
  <c r="D4" i="7"/>
  <c r="D4" i="5"/>
  <c r="D12" i="6"/>
  <c r="C4" i="6"/>
  <c r="D4" i="8"/>
  <c r="C6" i="7"/>
  <c r="D6" i="7"/>
  <c r="C4" i="5"/>
  <c r="D6" i="5"/>
  <c r="C8" i="5"/>
  <c r="D5" i="6"/>
  <c r="C10" i="6"/>
  <c r="C12" i="6"/>
  <c r="C3" i="6"/>
  <c r="C9" i="6"/>
  <c r="C3" i="8"/>
  <c r="C6" i="5"/>
  <c r="D7" i="6"/>
  <c r="D6" i="6"/>
  <c r="C4" i="8"/>
  <c r="C5" i="7"/>
  <c r="D3" i="7"/>
  <c r="C5" i="5"/>
  <c r="D3" i="5"/>
  <c r="D7" i="5"/>
  <c r="D3" i="6"/>
  <c r="D8" i="6"/>
  <c r="D9" i="6"/>
  <c r="C7" i="6"/>
  <c r="C3" i="7"/>
  <c r="D8" i="5"/>
  <c r="C11" i="6"/>
  <c r="E4" i="8" l="1"/>
  <c r="E3" i="8"/>
  <c r="E6" i="7"/>
  <c r="E5" i="7"/>
  <c r="E4" i="7"/>
  <c r="E3" i="7"/>
  <c r="E8" i="5"/>
  <c r="E7" i="5"/>
  <c r="E6" i="5"/>
  <c r="E5" i="5"/>
  <c r="E4" i="5"/>
  <c r="E3" i="5"/>
  <c r="E3" i="6" l="1"/>
  <c r="E5" i="6"/>
  <c r="E6" i="6"/>
  <c r="E7" i="6"/>
  <c r="E11" i="6"/>
  <c r="I4" i="8" l="1"/>
  <c r="H4" i="8"/>
  <c r="G4" i="8"/>
  <c r="J4" i="8"/>
  <c r="I3" i="8"/>
  <c r="H3" i="8"/>
  <c r="G3" i="8"/>
  <c r="J3" i="8"/>
  <c r="I6" i="7"/>
  <c r="H6" i="7"/>
  <c r="G6" i="7"/>
  <c r="J6" i="7"/>
  <c r="H5" i="7"/>
  <c r="G5" i="7"/>
  <c r="I5" i="7"/>
  <c r="I4" i="7"/>
  <c r="H4" i="7"/>
  <c r="G4" i="7"/>
  <c r="J4" i="7"/>
  <c r="I3" i="7"/>
  <c r="H3" i="7"/>
  <c r="G3" i="7"/>
  <c r="J3" i="7"/>
  <c r="I6" i="5"/>
  <c r="I4" i="5"/>
  <c r="I3" i="5"/>
  <c r="I3" i="6"/>
  <c r="J3" i="6"/>
  <c r="I5" i="6"/>
  <c r="J5" i="6"/>
  <c r="I6" i="6"/>
  <c r="J6" i="6"/>
  <c r="I7" i="6"/>
  <c r="J7" i="6"/>
  <c r="I11" i="6"/>
  <c r="J11" i="6"/>
  <c r="G9" i="6"/>
  <c r="H9" i="6"/>
  <c r="G10" i="6"/>
  <c r="H10" i="6"/>
  <c r="G11" i="6"/>
  <c r="H11" i="6"/>
  <c r="G12" i="6"/>
  <c r="H12" i="6"/>
  <c r="E12" i="6"/>
  <c r="J12" i="6" s="1"/>
  <c r="E10" i="6"/>
  <c r="J10" i="6" s="1"/>
  <c r="E9" i="6"/>
  <c r="J9" i="6" s="1"/>
  <c r="E8" i="6"/>
  <c r="J8" i="6" s="1"/>
  <c r="J4" i="6"/>
  <c r="H8" i="6"/>
  <c r="G8" i="6"/>
  <c r="H7" i="6"/>
  <c r="G7" i="6"/>
  <c r="H6" i="6"/>
  <c r="G6" i="6"/>
  <c r="H5" i="6"/>
  <c r="G5" i="6"/>
  <c r="H4" i="6"/>
  <c r="G4" i="6"/>
  <c r="H3" i="6"/>
  <c r="G3" i="6"/>
  <c r="I9" i="6" l="1"/>
  <c r="I12" i="6"/>
  <c r="I10" i="6"/>
  <c r="I8" i="6"/>
  <c r="I4" i="6"/>
  <c r="J5" i="7"/>
  <c r="J3" i="5" l="1"/>
  <c r="J4" i="5"/>
  <c r="J6" i="5"/>
  <c r="H8" i="5"/>
  <c r="G8" i="5"/>
  <c r="H7" i="5"/>
  <c r="G7" i="5"/>
  <c r="H6" i="5"/>
  <c r="G6" i="5"/>
  <c r="H5" i="5"/>
  <c r="G5" i="5"/>
  <c r="H4" i="5"/>
  <c r="G4" i="5"/>
  <c r="H3" i="5"/>
  <c r="G3" i="5"/>
  <c r="J8" i="5" l="1"/>
  <c r="I8" i="5"/>
  <c r="J5" i="5"/>
  <c r="I5" i="5"/>
  <c r="J7" i="5"/>
  <c r="I7" i="5"/>
</calcChain>
</file>

<file path=xl/sharedStrings.xml><?xml version="1.0" encoding="utf-8"?>
<sst xmlns="http://schemas.openxmlformats.org/spreadsheetml/2006/main" count="20" uniqueCount="5">
  <si>
    <t>opposite</t>
  </si>
  <si>
    <t>inverse</t>
  </si>
  <si>
    <t>odd sqrt</t>
  </si>
  <si>
    <t>even sqrt</t>
  </si>
  <si>
    <t>checks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</si>
</sst>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24"/>
      <color rgb="FFC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3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>MOD(prime-D2,prime)</f>
        <v>0</v>
      </c>
      <c r="G2" s="1">
        <f t="shared" ref="G2" si="0">MOD($A2+B2,prime)</f>
        <v>0</v>
      </c>
      <c r="H2" s="1" t="e">
        <f t="shared" ref="H2" si="1">MOD($A2*C2,prime)</f>
        <v>#N/A</v>
      </c>
      <c r="I2" s="1">
        <f t="shared" ref="I2" si="2">MOD(D2*D2,prime)</f>
        <v>0</v>
      </c>
      <c r="J2" s="1">
        <f t="shared" ref="J2" si="3">MOD(E2*E2,prime)</f>
        <v>0</v>
      </c>
    </row>
    <row r="3" spans="1:10" x14ac:dyDescent="0.7">
      <c r="A3" s="1">
        <v>1</v>
      </c>
      <c r="B3" s="2">
        <f>MOD(prime-A3,prime)</f>
        <v>2</v>
      </c>
      <c r="C3" s="2">
        <f>modinv(A3,prime)</f>
        <v>1</v>
      </c>
      <c r="D3" s="2">
        <f>modular_sqrt(A3,prime)</f>
        <v>1</v>
      </c>
      <c r="E3" s="2">
        <f t="shared" ref="E3:E4" si="4">MOD(prime-D3,prime)</f>
        <v>2</v>
      </c>
      <c r="G3" s="1">
        <f t="shared" ref="G3:G4" si="5">MOD($A3+B3,prime)</f>
        <v>0</v>
      </c>
      <c r="H3" s="1">
        <f t="shared" ref="H3:H4" si="6">MOD($A3*C3,prime)</f>
        <v>1</v>
      </c>
      <c r="I3" s="1">
        <f t="shared" ref="I3:J4" si="7">MOD(D3*D3,prime)</f>
        <v>1</v>
      </c>
      <c r="J3" s="1">
        <f t="shared" si="7"/>
        <v>1</v>
      </c>
    </row>
    <row r="4" spans="1:10" x14ac:dyDescent="0.7">
      <c r="A4" s="1">
        <v>2</v>
      </c>
      <c r="B4" s="2">
        <f>MOD(prime-A4,prime)</f>
        <v>1</v>
      </c>
      <c r="C4" s="2">
        <f>modinv(A4,prime)</f>
        <v>2</v>
      </c>
      <c r="D4" s="2" t="e">
        <f>modular_sqrt(A4,prime)</f>
        <v>#N/A</v>
      </c>
      <c r="E4" s="2" t="e">
        <f t="shared" si="4"/>
        <v>#N/A</v>
      </c>
      <c r="G4" s="1">
        <f t="shared" si="5"/>
        <v>0</v>
      </c>
      <c r="H4" s="1">
        <f t="shared" si="6"/>
        <v>1</v>
      </c>
      <c r="I4" s="1" t="e">
        <f t="shared" si="7"/>
        <v>#N/A</v>
      </c>
      <c r="J4" s="1" t="e">
        <f t="shared" si="7"/>
        <v>#N/A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6"/>
  <sheetViews>
    <sheetView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5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0">MOD(prime-D2,prime)</f>
        <v>0</v>
      </c>
      <c r="G2" s="1">
        <f t="shared" ref="G2" si="1">MOD($A2+B2,prime)</f>
        <v>0</v>
      </c>
      <c r="H2" s="1" t="e">
        <f t="shared" ref="H2" si="2">MOD($A2*C2,prime)</f>
        <v>#N/A</v>
      </c>
      <c r="I2" s="1">
        <f t="shared" ref="I2" si="3">MOD(D2*D2,prime)</f>
        <v>0</v>
      </c>
      <c r="J2" s="1">
        <f t="shared" ref="J2" si="4">MOD(E2*E2,prime)</f>
        <v>0</v>
      </c>
    </row>
    <row r="3" spans="1:10" x14ac:dyDescent="0.7">
      <c r="A3" s="1">
        <v>1</v>
      </c>
      <c r="B3" s="2">
        <f>MOD(prime-A3,prime)</f>
        <v>4</v>
      </c>
      <c r="C3" s="2">
        <f>modinv(A3,prime)</f>
        <v>1</v>
      </c>
      <c r="D3" s="2">
        <f>modular_sqrt(A3,prime)</f>
        <v>1</v>
      </c>
      <c r="E3" s="2">
        <f t="shared" ref="E3:E6" si="5">MOD(prime-D3,prime)</f>
        <v>4</v>
      </c>
      <c r="G3" s="1">
        <f t="shared" ref="G3:G6" si="6">MOD($A3+B3,prime)</f>
        <v>0</v>
      </c>
      <c r="H3" s="1">
        <f t="shared" ref="H3:H6" si="7">MOD($A3*C3,prime)</f>
        <v>1</v>
      </c>
      <c r="I3" s="1">
        <f t="shared" ref="I3:J6" si="8">MOD(D3*D3,prime)</f>
        <v>1</v>
      </c>
      <c r="J3" s="1">
        <f t="shared" si="8"/>
        <v>1</v>
      </c>
    </row>
    <row r="4" spans="1:10" x14ac:dyDescent="0.7">
      <c r="A4" s="1">
        <v>2</v>
      </c>
      <c r="B4" s="2">
        <f>MOD(prime-A4,prime)</f>
        <v>3</v>
      </c>
      <c r="C4" s="2">
        <f>modinv(A4,prime)</f>
        <v>3</v>
      </c>
      <c r="D4" s="2" t="e">
        <f>modular_sqrt(A4,prime)</f>
        <v>#N/A</v>
      </c>
      <c r="E4" s="2" t="e">
        <f t="shared" si="5"/>
        <v>#N/A</v>
      </c>
      <c r="G4" s="1">
        <f t="shared" si="6"/>
        <v>0</v>
      </c>
      <c r="H4" s="1">
        <f t="shared" si="7"/>
        <v>1</v>
      </c>
      <c r="I4" s="1" t="e">
        <f t="shared" si="8"/>
        <v>#N/A</v>
      </c>
      <c r="J4" s="1" t="e">
        <f t="shared" si="8"/>
        <v>#N/A</v>
      </c>
    </row>
    <row r="5" spans="1:10" x14ac:dyDescent="0.7">
      <c r="A5" s="1">
        <v>3</v>
      </c>
      <c r="B5" s="2">
        <f>MOD(prime-A5,prime)</f>
        <v>2</v>
      </c>
      <c r="C5" s="2">
        <f>modinv(A5,prime)</f>
        <v>2</v>
      </c>
      <c r="D5" s="2" t="e">
        <f>modular_sqrt(A5,prime)</f>
        <v>#N/A</v>
      </c>
      <c r="E5" s="2" t="e">
        <f t="shared" si="5"/>
        <v>#N/A</v>
      </c>
      <c r="G5" s="1">
        <f t="shared" si="6"/>
        <v>0</v>
      </c>
      <c r="H5" s="1">
        <f t="shared" si="7"/>
        <v>1</v>
      </c>
      <c r="I5" s="1" t="e">
        <f t="shared" si="8"/>
        <v>#N/A</v>
      </c>
      <c r="J5" s="1" t="e">
        <f t="shared" si="8"/>
        <v>#N/A</v>
      </c>
    </row>
    <row r="6" spans="1:10" x14ac:dyDescent="0.7">
      <c r="A6" s="1">
        <v>4</v>
      </c>
      <c r="B6" s="2">
        <f>MOD(prime-A6,prime)</f>
        <v>1</v>
      </c>
      <c r="C6" s="2">
        <f>modinv(A6,prime)</f>
        <v>4</v>
      </c>
      <c r="D6" s="2">
        <f>modular_sqrt(A6,prime)</f>
        <v>3</v>
      </c>
      <c r="E6" s="2">
        <f t="shared" si="5"/>
        <v>2</v>
      </c>
      <c r="G6" s="1">
        <f t="shared" si="6"/>
        <v>0</v>
      </c>
      <c r="H6" s="1">
        <f t="shared" si="7"/>
        <v>1</v>
      </c>
      <c r="I6" s="1">
        <f t="shared" si="8"/>
        <v>4</v>
      </c>
      <c r="J6" s="1">
        <f t="shared" si="8"/>
        <v>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tabSelected="1" workbookViewId="0"/>
  </sheetViews>
  <sheetFormatPr defaultColWidth="9.1796875" defaultRowHeight="31" x14ac:dyDescent="0.7"/>
  <cols>
    <col min="1" max="1" width="5.1796875" style="1" bestFit="1" customWidth="1"/>
    <col min="2" max="2" width="16.90625" style="1" bestFit="1" customWidth="1"/>
    <col min="3" max="3" width="14.36328125" style="1" bestFit="1" customWidth="1"/>
    <col min="4" max="4" width="16.26953125" style="1" bestFit="1" customWidth="1"/>
    <col min="5" max="5" width="18.1796875" style="1" bestFit="1" customWidth="1"/>
    <col min="6" max="6" width="9.1796875" style="1"/>
    <col min="7" max="7" width="13.1796875" style="1" bestFit="1" customWidth="1"/>
    <col min="8" max="10" width="10.6328125" style="1" bestFit="1" customWidth="1"/>
    <col min="11" max="16384" width="9.1796875" style="1"/>
  </cols>
  <sheetData>
    <row r="1" spans="1:10" x14ac:dyDescent="0.7">
      <c r="A1" s="3">
        <v>7</v>
      </c>
      <c r="B1" s="1" t="s">
        <v>0</v>
      </c>
      <c r="C1" s="1" t="s">
        <v>1</v>
      </c>
      <c r="D1" s="1" t="s">
        <v>2</v>
      </c>
      <c r="E1" s="1" t="s">
        <v>3</v>
      </c>
      <c r="G1" s="1" t="s">
        <v>4</v>
      </c>
    </row>
    <row r="2" spans="1:10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0">MOD(prime-D2,prime)</f>
        <v>0</v>
      </c>
      <c r="G2" s="1">
        <f t="shared" ref="G2" si="1">MOD($A2+B2,prime)</f>
        <v>0</v>
      </c>
      <c r="H2" s="1" t="e">
        <f t="shared" ref="H2" si="2">MOD($A2*C2,prime)</f>
        <v>#N/A</v>
      </c>
      <c r="I2" s="1">
        <f t="shared" ref="I2" si="3">MOD(D2*D2,prime)</f>
        <v>0</v>
      </c>
      <c r="J2" s="1">
        <f t="shared" ref="J2" si="4">MOD(E2*E2,prime)</f>
        <v>0</v>
      </c>
    </row>
    <row r="3" spans="1:10" x14ac:dyDescent="0.7">
      <c r="A3" s="1">
        <v>1</v>
      </c>
      <c r="B3" s="2">
        <f>MOD(prime-A3,prime)</f>
        <v>6</v>
      </c>
      <c r="C3" s="2">
        <f t="shared" ref="C3:C8" si="5">modinv(A3,prime)</f>
        <v>1</v>
      </c>
      <c r="D3" s="2">
        <f t="shared" ref="D3:D8" si="6">modular_sqrt(A3,prime)</f>
        <v>1</v>
      </c>
      <c r="E3" s="2">
        <f t="shared" ref="E3:E8" si="7">MOD(prime-D3,prime)</f>
        <v>6</v>
      </c>
      <c r="G3" s="1">
        <f t="shared" ref="G3:G8" si="8">MOD($A3+B3,prime)</f>
        <v>0</v>
      </c>
      <c r="H3" s="1">
        <f t="shared" ref="H3:H8" si="9">MOD($A3*C3,prime)</f>
        <v>1</v>
      </c>
      <c r="I3" s="1">
        <f t="shared" ref="I3:J8" si="10">MOD(D3*D3,prime)</f>
        <v>1</v>
      </c>
      <c r="J3" s="1">
        <f t="shared" si="10"/>
        <v>1</v>
      </c>
    </row>
    <row r="4" spans="1:10" x14ac:dyDescent="0.7">
      <c r="A4" s="1">
        <v>2</v>
      </c>
      <c r="B4" s="2">
        <f>MOD(prime-A4,prime)</f>
        <v>5</v>
      </c>
      <c r="C4" s="2">
        <f t="shared" si="5"/>
        <v>4</v>
      </c>
      <c r="D4" s="2">
        <f t="shared" si="6"/>
        <v>3</v>
      </c>
      <c r="E4" s="2">
        <f t="shared" si="7"/>
        <v>4</v>
      </c>
      <c r="G4" s="1">
        <f t="shared" si="8"/>
        <v>0</v>
      </c>
      <c r="H4" s="1">
        <f t="shared" si="9"/>
        <v>1</v>
      </c>
      <c r="I4" s="1">
        <f t="shared" si="10"/>
        <v>2</v>
      </c>
      <c r="J4" s="1">
        <f t="shared" si="10"/>
        <v>2</v>
      </c>
    </row>
    <row r="5" spans="1:10" x14ac:dyDescent="0.7">
      <c r="A5" s="1">
        <v>3</v>
      </c>
      <c r="B5" s="2">
        <f>MOD(prime-A5,prime)</f>
        <v>4</v>
      </c>
      <c r="C5" s="2">
        <f t="shared" si="5"/>
        <v>5</v>
      </c>
      <c r="D5" s="2" t="e">
        <f t="shared" si="6"/>
        <v>#N/A</v>
      </c>
      <c r="E5" s="2" t="e">
        <f t="shared" si="7"/>
        <v>#N/A</v>
      </c>
      <c r="G5" s="1">
        <f t="shared" si="8"/>
        <v>0</v>
      </c>
      <c r="H5" s="1">
        <f t="shared" si="9"/>
        <v>1</v>
      </c>
      <c r="I5" s="1" t="e">
        <f t="shared" si="10"/>
        <v>#N/A</v>
      </c>
      <c r="J5" s="1" t="e">
        <f t="shared" si="10"/>
        <v>#N/A</v>
      </c>
    </row>
    <row r="6" spans="1:10" x14ac:dyDescent="0.7">
      <c r="A6" s="1">
        <v>4</v>
      </c>
      <c r="B6" s="2">
        <f>MOD(prime-A6,prime)</f>
        <v>3</v>
      </c>
      <c r="C6" s="2">
        <f t="shared" si="5"/>
        <v>2</v>
      </c>
      <c r="D6" s="2">
        <f t="shared" si="6"/>
        <v>5</v>
      </c>
      <c r="E6" s="2">
        <f t="shared" si="7"/>
        <v>2</v>
      </c>
      <c r="G6" s="1">
        <f t="shared" si="8"/>
        <v>0</v>
      </c>
      <c r="H6" s="1">
        <f t="shared" si="9"/>
        <v>1</v>
      </c>
      <c r="I6" s="1">
        <f t="shared" si="10"/>
        <v>4</v>
      </c>
      <c r="J6" s="1">
        <f t="shared" si="10"/>
        <v>4</v>
      </c>
    </row>
    <row r="7" spans="1:10" x14ac:dyDescent="0.7">
      <c r="A7" s="1">
        <v>5</v>
      </c>
      <c r="B7" s="2">
        <f>MOD(prime-A7,prime)</f>
        <v>2</v>
      </c>
      <c r="C7" s="2">
        <f t="shared" si="5"/>
        <v>3</v>
      </c>
      <c r="D7" s="2" t="e">
        <f t="shared" si="6"/>
        <v>#N/A</v>
      </c>
      <c r="E7" s="2" t="e">
        <f t="shared" si="7"/>
        <v>#N/A</v>
      </c>
      <c r="G7" s="1">
        <f t="shared" si="8"/>
        <v>0</v>
      </c>
      <c r="H7" s="1">
        <f t="shared" si="9"/>
        <v>1</v>
      </c>
      <c r="I7" s="1" t="e">
        <f t="shared" si="10"/>
        <v>#N/A</v>
      </c>
      <c r="J7" s="1" t="e">
        <f t="shared" si="10"/>
        <v>#N/A</v>
      </c>
    </row>
    <row r="8" spans="1:10" x14ac:dyDescent="0.7">
      <c r="A8" s="1">
        <v>6</v>
      </c>
      <c r="B8" s="2">
        <f>MOD(prime-A8,prime)</f>
        <v>1</v>
      </c>
      <c r="C8" s="2">
        <f t="shared" si="5"/>
        <v>6</v>
      </c>
      <c r="D8" s="2" t="e">
        <f t="shared" si="6"/>
        <v>#N/A</v>
      </c>
      <c r="E8" s="2" t="e">
        <f t="shared" si="7"/>
        <v>#N/A</v>
      </c>
      <c r="G8" s="1">
        <f t="shared" si="8"/>
        <v>0</v>
      </c>
      <c r="H8" s="1">
        <f t="shared" si="9"/>
        <v>1</v>
      </c>
      <c r="I8" s="1" t="e">
        <f t="shared" si="10"/>
        <v>#N/A</v>
      </c>
      <c r="J8" s="1" t="e">
        <f t="shared" si="10"/>
        <v>#N/A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2"/>
  <sheetViews>
    <sheetView workbookViewId="0"/>
  </sheetViews>
  <sheetFormatPr defaultColWidth="9.1796875" defaultRowHeight="31" x14ac:dyDescent="0.7"/>
  <cols>
    <col min="1" max="1" width="7.36328125" style="2" bestFit="1" customWidth="1"/>
    <col min="2" max="2" width="16.90625" style="2" bestFit="1" customWidth="1"/>
    <col min="3" max="3" width="14.36328125" style="2" bestFit="1" customWidth="1"/>
    <col min="4" max="4" width="16.26953125" style="2" bestFit="1" customWidth="1"/>
    <col min="5" max="5" width="18.1796875" style="2" bestFit="1" customWidth="1"/>
    <col min="6" max="6" width="9.1796875" style="2"/>
    <col min="7" max="7" width="13.1796875" style="2" bestFit="1" customWidth="1"/>
    <col min="8" max="10" width="10.6328125" style="2" bestFit="1" customWidth="1"/>
    <col min="11" max="16384" width="9.1796875" style="2"/>
  </cols>
  <sheetData>
    <row r="1" spans="1:10" x14ac:dyDescent="0.7">
      <c r="A1" s="3">
        <v>11</v>
      </c>
      <c r="B1" s="2" t="s">
        <v>0</v>
      </c>
      <c r="C1" s="2" t="s">
        <v>1</v>
      </c>
      <c r="D1" s="2" t="s">
        <v>2</v>
      </c>
      <c r="E1" s="2" t="s">
        <v>3</v>
      </c>
      <c r="G1" s="2" t="s">
        <v>4</v>
      </c>
    </row>
    <row r="2" spans="1:10" s="1" customFormat="1" x14ac:dyDescent="0.7">
      <c r="A2" s="1">
        <v>0</v>
      </c>
      <c r="B2" s="2">
        <f>MOD(prime-A2,prime)</f>
        <v>0</v>
      </c>
      <c r="C2" s="2" t="e">
        <f>modinv(A2,prime)</f>
        <v>#N/A</v>
      </c>
      <c r="D2" s="2">
        <f>modular_sqrt(A2,prime)</f>
        <v>0</v>
      </c>
      <c r="E2" s="2">
        <f t="shared" ref="E2" si="0">MOD(prime-D2,prime)</f>
        <v>0</v>
      </c>
      <c r="G2" s="1">
        <f t="shared" ref="G2" si="1">MOD($A2+B2,prime)</f>
        <v>0</v>
      </c>
      <c r="H2" s="1" t="e">
        <f t="shared" ref="H2" si="2">MOD($A2*C2,prime)</f>
        <v>#N/A</v>
      </c>
      <c r="I2" s="1">
        <f t="shared" ref="I2" si="3">MOD(D2*D2,prime)</f>
        <v>0</v>
      </c>
      <c r="J2" s="1">
        <f t="shared" ref="J2" si="4">MOD(E2*E2,prime)</f>
        <v>0</v>
      </c>
    </row>
    <row r="3" spans="1:10" x14ac:dyDescent="0.7">
      <c r="A3" s="2">
        <v>1</v>
      </c>
      <c r="B3" s="2">
        <f>MOD(prime-A3,prime)</f>
        <v>10</v>
      </c>
      <c r="C3" s="2">
        <f t="shared" ref="C3:C12" si="5">modinv(A3,prime)</f>
        <v>1</v>
      </c>
      <c r="D3" s="2">
        <f t="shared" ref="D3:D12" si="6">modular_sqrt(A3,prime)</f>
        <v>1</v>
      </c>
      <c r="E3" s="2">
        <f t="shared" ref="E3:E12" si="7">MOD(prime-D3,prime)</f>
        <v>10</v>
      </c>
      <c r="G3" s="2">
        <f t="shared" ref="G3:G8" si="8">MOD($A3+B3,prime)</f>
        <v>0</v>
      </c>
      <c r="H3" s="2">
        <f t="shared" ref="H3:H8" si="9">MOD($A3*C3,prime)</f>
        <v>1</v>
      </c>
      <c r="I3" s="2">
        <f t="shared" ref="I3:I12" si="10">MOD(D3*D3,prime)</f>
        <v>1</v>
      </c>
      <c r="J3" s="2">
        <f t="shared" ref="J3:J12" si="11">MOD(E3*E3,prime)</f>
        <v>1</v>
      </c>
    </row>
    <row r="4" spans="1:10" x14ac:dyDescent="0.7">
      <c r="A4" s="2">
        <v>2</v>
      </c>
      <c r="B4" s="2">
        <f>MOD(prime-A4,prime)</f>
        <v>9</v>
      </c>
      <c r="C4" s="2">
        <f t="shared" si="5"/>
        <v>6</v>
      </c>
      <c r="D4" s="2" t="e">
        <f>modular_sqrt(A4,prime)</f>
        <v>#N/A</v>
      </c>
      <c r="E4" s="2" t="e">
        <f>MOD(prime-D4,prime)</f>
        <v>#N/A</v>
      </c>
      <c r="G4" s="2">
        <f t="shared" si="8"/>
        <v>0</v>
      </c>
      <c r="H4" s="2">
        <f t="shared" si="9"/>
        <v>1</v>
      </c>
      <c r="I4" s="2" t="e">
        <f t="shared" si="10"/>
        <v>#N/A</v>
      </c>
      <c r="J4" s="2" t="e">
        <f t="shared" si="11"/>
        <v>#N/A</v>
      </c>
    </row>
    <row r="5" spans="1:10" x14ac:dyDescent="0.7">
      <c r="A5" s="2">
        <v>3</v>
      </c>
      <c r="B5" s="2">
        <f>MOD(prime-A5,prime)</f>
        <v>8</v>
      </c>
      <c r="C5" s="2">
        <f t="shared" si="5"/>
        <v>4</v>
      </c>
      <c r="D5" s="2">
        <f t="shared" si="6"/>
        <v>5</v>
      </c>
      <c r="E5" s="2">
        <f t="shared" si="7"/>
        <v>6</v>
      </c>
      <c r="G5" s="2">
        <f t="shared" si="8"/>
        <v>0</v>
      </c>
      <c r="H5" s="2">
        <f t="shared" si="9"/>
        <v>1</v>
      </c>
      <c r="I5" s="2">
        <f t="shared" si="10"/>
        <v>3</v>
      </c>
      <c r="J5" s="2">
        <f t="shared" si="11"/>
        <v>3</v>
      </c>
    </row>
    <row r="6" spans="1:10" x14ac:dyDescent="0.7">
      <c r="A6" s="2">
        <v>4</v>
      </c>
      <c r="B6" s="2">
        <f>MOD(prime-A6,prime)</f>
        <v>7</v>
      </c>
      <c r="C6" s="2">
        <f t="shared" si="5"/>
        <v>3</v>
      </c>
      <c r="D6" s="2">
        <f t="shared" si="6"/>
        <v>9</v>
      </c>
      <c r="E6" s="2">
        <f t="shared" si="7"/>
        <v>2</v>
      </c>
      <c r="G6" s="2">
        <f t="shared" si="8"/>
        <v>0</v>
      </c>
      <c r="H6" s="2">
        <f t="shared" si="9"/>
        <v>1</v>
      </c>
      <c r="I6" s="2">
        <f t="shared" si="10"/>
        <v>4</v>
      </c>
      <c r="J6" s="2">
        <f t="shared" si="11"/>
        <v>4</v>
      </c>
    </row>
    <row r="7" spans="1:10" x14ac:dyDescent="0.7">
      <c r="A7" s="2">
        <v>5</v>
      </c>
      <c r="B7" s="2">
        <f>MOD(prime-A7,prime)</f>
        <v>6</v>
      </c>
      <c r="C7" s="2">
        <f t="shared" si="5"/>
        <v>9</v>
      </c>
      <c r="D7" s="2">
        <f t="shared" si="6"/>
        <v>7</v>
      </c>
      <c r="E7" s="2">
        <f t="shared" si="7"/>
        <v>4</v>
      </c>
      <c r="G7" s="2">
        <f t="shared" si="8"/>
        <v>0</v>
      </c>
      <c r="H7" s="2">
        <f t="shared" si="9"/>
        <v>1</v>
      </c>
      <c r="I7" s="2">
        <f t="shared" si="10"/>
        <v>5</v>
      </c>
      <c r="J7" s="2">
        <f t="shared" si="11"/>
        <v>5</v>
      </c>
    </row>
    <row r="8" spans="1:10" x14ac:dyDescent="0.7">
      <c r="A8" s="2">
        <v>6</v>
      </c>
      <c r="B8" s="2">
        <f>MOD(prime-A8,prime)</f>
        <v>5</v>
      </c>
      <c r="C8" s="2">
        <f t="shared" si="5"/>
        <v>2</v>
      </c>
      <c r="D8" s="2" t="e">
        <f t="shared" si="6"/>
        <v>#N/A</v>
      </c>
      <c r="E8" s="2" t="e">
        <f t="shared" si="7"/>
        <v>#N/A</v>
      </c>
      <c r="G8" s="2">
        <f t="shared" si="8"/>
        <v>0</v>
      </c>
      <c r="H8" s="2">
        <f t="shared" si="9"/>
        <v>1</v>
      </c>
      <c r="I8" s="2" t="e">
        <f t="shared" si="10"/>
        <v>#N/A</v>
      </c>
      <c r="J8" s="2" t="e">
        <f t="shared" si="11"/>
        <v>#N/A</v>
      </c>
    </row>
    <row r="9" spans="1:10" x14ac:dyDescent="0.7">
      <c r="A9" s="2">
        <v>7</v>
      </c>
      <c r="B9" s="2">
        <f>MOD(prime-A9,prime)</f>
        <v>4</v>
      </c>
      <c r="C9" s="2">
        <f t="shared" si="5"/>
        <v>8</v>
      </c>
      <c r="D9" s="2" t="e">
        <f t="shared" si="6"/>
        <v>#N/A</v>
      </c>
      <c r="E9" s="2" t="e">
        <f t="shared" si="7"/>
        <v>#N/A</v>
      </c>
      <c r="G9" s="2">
        <f t="shared" ref="G9:G12" si="12">MOD($A9+B9,prime)</f>
        <v>0</v>
      </c>
      <c r="H9" s="2">
        <f t="shared" ref="H9:H12" si="13">MOD($A9*C9,prime)</f>
        <v>1</v>
      </c>
      <c r="I9" s="2" t="e">
        <f t="shared" si="10"/>
        <v>#N/A</v>
      </c>
      <c r="J9" s="2" t="e">
        <f t="shared" si="11"/>
        <v>#N/A</v>
      </c>
    </row>
    <row r="10" spans="1:10" x14ac:dyDescent="0.7">
      <c r="A10" s="2">
        <v>8</v>
      </c>
      <c r="B10" s="2">
        <f>MOD(prime-A10,prime)</f>
        <v>3</v>
      </c>
      <c r="C10" s="2">
        <f t="shared" si="5"/>
        <v>7</v>
      </c>
      <c r="D10" s="2" t="e">
        <f t="shared" si="6"/>
        <v>#N/A</v>
      </c>
      <c r="E10" s="2" t="e">
        <f t="shared" si="7"/>
        <v>#N/A</v>
      </c>
      <c r="G10" s="2">
        <f t="shared" si="12"/>
        <v>0</v>
      </c>
      <c r="H10" s="2">
        <f t="shared" si="13"/>
        <v>1</v>
      </c>
      <c r="I10" s="2" t="e">
        <f t="shared" si="10"/>
        <v>#N/A</v>
      </c>
      <c r="J10" s="2" t="e">
        <f t="shared" si="11"/>
        <v>#N/A</v>
      </c>
    </row>
    <row r="11" spans="1:10" x14ac:dyDescent="0.7">
      <c r="A11" s="2">
        <v>9</v>
      </c>
      <c r="B11" s="2">
        <f>MOD(prime-A11,prime)</f>
        <v>2</v>
      </c>
      <c r="C11" s="2">
        <f t="shared" si="5"/>
        <v>5</v>
      </c>
      <c r="D11" s="2">
        <f t="shared" si="6"/>
        <v>3</v>
      </c>
      <c r="E11" s="2">
        <f t="shared" si="7"/>
        <v>8</v>
      </c>
      <c r="G11" s="2">
        <f t="shared" si="12"/>
        <v>0</v>
      </c>
      <c r="H11" s="2">
        <f t="shared" si="13"/>
        <v>1</v>
      </c>
      <c r="I11" s="2">
        <f t="shared" si="10"/>
        <v>9</v>
      </c>
      <c r="J11" s="2">
        <f t="shared" si="11"/>
        <v>9</v>
      </c>
    </row>
    <row r="12" spans="1:10" x14ac:dyDescent="0.7">
      <c r="A12" s="2">
        <v>10</v>
      </c>
      <c r="B12" s="2">
        <f>MOD(prime-A12,prime)</f>
        <v>1</v>
      </c>
      <c r="C12" s="2">
        <f t="shared" si="5"/>
        <v>10</v>
      </c>
      <c r="D12" s="2" t="e">
        <f t="shared" si="6"/>
        <v>#N/A</v>
      </c>
      <c r="E12" s="2" t="e">
        <f t="shared" si="7"/>
        <v>#N/A</v>
      </c>
      <c r="G12" s="2">
        <f t="shared" si="12"/>
        <v>0</v>
      </c>
      <c r="H12" s="2">
        <f t="shared" si="13"/>
        <v>1</v>
      </c>
      <c r="I12" s="2" t="e">
        <f t="shared" si="10"/>
        <v>#N/A</v>
      </c>
      <c r="J12" s="2" t="e">
        <f t="shared" si="11"/>
        <v>#N/A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F3</vt:lpstr>
      <vt:lpstr>F5</vt:lpstr>
      <vt:lpstr>F7</vt:lpstr>
      <vt:lpstr>F11</vt:lpstr>
      <vt:lpstr>'F11'!prime</vt:lpstr>
      <vt:lpstr>'F3'!prime</vt:lpstr>
      <vt:lpstr>'F5'!prime</vt:lpstr>
      <vt:lpstr>'F7'!prime</vt:lpstr>
    </vt:vector>
  </TitlesOfParts>
  <Company>Intesa-Sanpaolo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AMETRANO FERDINANDO MARIA</dc:creator>
  <cp:lastModifiedBy>Ferdinando Ametrano</cp:lastModifiedBy>
  <dcterms:created xsi:type="dcterms:W3CDTF">2016-04-01T07:54:48Z</dcterms:created>
  <dcterms:modified xsi:type="dcterms:W3CDTF">2018-05-19T09:43:42Z</dcterms:modified>
</cp:coreProperties>
</file>