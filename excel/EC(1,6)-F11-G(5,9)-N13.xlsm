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rdi\git\BitcoinBlockchainTechnology\excel\"/>
    </mc:Choice>
  </mc:AlternateContent>
  <xr:revisionPtr revIDLastSave="0" documentId="13_ncr:1_{19EDE56C-AE67-41FE-ADF1-8F343C6003E6}" xr6:coauthVersionLast="32" xr6:coauthVersionMax="32" xr10:uidLastSave="{00000000-0000-0000-0000-000000000000}"/>
  <bookViews>
    <workbookView xWindow="-20" yWindow="-20" windowWidth="19080" windowHeight="11690" xr2:uid="{00000000-000D-0000-FFFF-FFFF00000000}"/>
  </bookViews>
  <sheets>
    <sheet name="EC" sheetId="1" r:id="rId1"/>
    <sheet name="Finite Fied" sheetId="2" r:id="rId2"/>
  </sheets>
  <functionGroups builtInGroupCount="19"/>
  <definedNames>
    <definedName name="a">EC!$B$1</definedName>
    <definedName name="b">EC!$B$2</definedName>
    <definedName name="Gx">'Finite Fied'!$A$2</definedName>
    <definedName name="Gy">'Finite Fied'!$B$2</definedName>
    <definedName name="prime">EC!$B$3</definedName>
  </definedNames>
  <calcPr calcId="179017"/>
</workbook>
</file>

<file path=xl/calcChain.xml><?xml version="1.0" encoding="utf-8"?>
<calcChain xmlns="http://schemas.openxmlformats.org/spreadsheetml/2006/main">
  <c r="A40" i="1" l="1"/>
  <c r="B40" i="1" s="1"/>
  <c r="C40" i="1" s="1"/>
  <c r="A41" i="1"/>
  <c r="B41" i="1" s="1"/>
  <c r="C41" i="1" s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P227" i="1" s="1"/>
  <c r="P228" i="1" s="1"/>
  <c r="P229" i="1" s="1"/>
  <c r="P230" i="1" s="1"/>
  <c r="P231" i="1" s="1"/>
  <c r="P232" i="1" s="1"/>
  <c r="P233" i="1" s="1"/>
  <c r="P234" i="1" s="1"/>
  <c r="P235" i="1" s="1"/>
  <c r="P236" i="1" s="1"/>
  <c r="P237" i="1" s="1"/>
  <c r="P238" i="1" s="1"/>
  <c r="P239" i="1" s="1"/>
  <c r="P240" i="1" s="1"/>
  <c r="P241" i="1" s="1"/>
  <c r="P242" i="1" s="1"/>
  <c r="P243" i="1" s="1"/>
  <c r="P244" i="1" s="1"/>
  <c r="P245" i="1" s="1"/>
  <c r="P246" i="1" s="1"/>
  <c r="P247" i="1" s="1"/>
  <c r="P248" i="1" s="1"/>
  <c r="P249" i="1" s="1"/>
  <c r="P250" i="1" s="1"/>
  <c r="P251" i="1" s="1"/>
  <c r="P252" i="1" s="1"/>
  <c r="P253" i="1" s="1"/>
  <c r="P254" i="1" s="1"/>
  <c r="P255" i="1" s="1"/>
  <c r="P256" i="1" s="1"/>
  <c r="P257" i="1" s="1"/>
  <c r="P258" i="1" s="1"/>
  <c r="P259" i="1" s="1"/>
  <c r="P260" i="1" s="1"/>
  <c r="P261" i="1" s="1"/>
  <c r="P262" i="1" s="1"/>
  <c r="P263" i="1" s="1"/>
  <c r="P264" i="1" s="1"/>
  <c r="A42" i="1" l="1"/>
  <c r="N2" i="1"/>
  <c r="N3" i="1"/>
  <c r="S2" i="1"/>
  <c r="Q2" i="1"/>
  <c r="Q3" i="1"/>
  <c r="A43" i="1" l="1"/>
  <c r="B42" i="1"/>
  <c r="C42" i="1" s="1"/>
  <c r="T3" i="1"/>
  <c r="T2" i="1"/>
  <c r="S3" i="1"/>
  <c r="S4" i="1"/>
  <c r="A8" i="1"/>
  <c r="B8" i="1" s="1"/>
  <c r="C8" i="1" s="1"/>
  <c r="B7" i="1"/>
  <c r="C7" i="1" s="1"/>
  <c r="A44" i="1" l="1"/>
  <c r="B43" i="1"/>
  <c r="C43" i="1" s="1"/>
  <c r="N4" i="1"/>
  <c r="S5" i="1"/>
  <c r="A9" i="1"/>
  <c r="Q4" i="1"/>
  <c r="B44" i="1" l="1"/>
  <c r="C44" i="1" s="1"/>
  <c r="A45" i="1"/>
  <c r="T4" i="1"/>
  <c r="N5" i="1"/>
  <c r="S6" i="1"/>
  <c r="A10" i="1"/>
  <c r="B9" i="1"/>
  <c r="Q5" i="1"/>
  <c r="B45" i="1" l="1"/>
  <c r="C45" i="1" s="1"/>
  <c r="A46" i="1"/>
  <c r="T5" i="1"/>
  <c r="N6" i="1"/>
  <c r="S7" i="1"/>
  <c r="C9" i="1"/>
  <c r="A11" i="1"/>
  <c r="B10" i="1"/>
  <c r="Q6" i="1"/>
  <c r="A47" i="1" l="1"/>
  <c r="B46" i="1"/>
  <c r="C46" i="1" s="1"/>
  <c r="T6" i="1"/>
  <c r="N7" i="1"/>
  <c r="S8" i="1"/>
  <c r="C10" i="1"/>
  <c r="A12" i="1"/>
  <c r="B11" i="1"/>
  <c r="Q7" i="1"/>
  <c r="A48" i="1" l="1"/>
  <c r="B47" i="1"/>
  <c r="C47" i="1" s="1"/>
  <c r="T7" i="1"/>
  <c r="N8" i="1"/>
  <c r="S9" i="1"/>
  <c r="C11" i="1"/>
  <c r="A13" i="1"/>
  <c r="B12" i="1"/>
  <c r="Q8" i="1"/>
  <c r="B48" i="1" l="1"/>
  <c r="C48" i="1" s="1"/>
  <c r="A49" i="1"/>
  <c r="T8" i="1"/>
  <c r="N9" i="1"/>
  <c r="S10" i="1"/>
  <c r="C12" i="1"/>
  <c r="A14" i="1"/>
  <c r="B13" i="1"/>
  <c r="Q9" i="1"/>
  <c r="B49" i="1" l="1"/>
  <c r="C49" i="1" s="1"/>
  <c r="A50" i="1"/>
  <c r="B50" i="1" s="1"/>
  <c r="C50" i="1" s="1"/>
  <c r="T9" i="1"/>
  <c r="N10" i="1"/>
  <c r="S11" i="1"/>
  <c r="C13" i="1"/>
  <c r="A15" i="1"/>
  <c r="B14" i="1"/>
  <c r="Q10" i="1"/>
  <c r="T10" i="1" l="1"/>
  <c r="N11" i="1"/>
  <c r="S12" i="1"/>
  <c r="C14" i="1"/>
  <c r="A16" i="1"/>
  <c r="B15" i="1"/>
  <c r="Q11" i="1"/>
  <c r="T11" i="1" l="1"/>
  <c r="N12" i="1"/>
  <c r="S13" i="1"/>
  <c r="C15" i="1"/>
  <c r="A17" i="1"/>
  <c r="B16" i="1"/>
  <c r="Q12" i="1"/>
  <c r="T12" i="1" l="1"/>
  <c r="N13" i="1"/>
  <c r="C16" i="1"/>
  <c r="A18" i="1"/>
  <c r="B17" i="1"/>
  <c r="Q13" i="1"/>
  <c r="T13" i="1" l="1"/>
  <c r="N14" i="1"/>
  <c r="S14" i="1"/>
  <c r="C17" i="1"/>
  <c r="A19" i="1"/>
  <c r="B18" i="1"/>
  <c r="Q14" i="1"/>
  <c r="T14" i="1" l="1"/>
  <c r="N15" i="1"/>
  <c r="S15" i="1"/>
  <c r="C18" i="1"/>
  <c r="A20" i="1"/>
  <c r="B19" i="1"/>
  <c r="Q15" i="1"/>
  <c r="T15" i="1" l="1"/>
  <c r="N16" i="1"/>
  <c r="S16" i="1"/>
  <c r="C19" i="1"/>
  <c r="A21" i="1"/>
  <c r="B20" i="1"/>
  <c r="Q16" i="1"/>
  <c r="T16" i="1" l="1"/>
  <c r="N17" i="1"/>
  <c r="S17" i="1"/>
  <c r="C20" i="1"/>
  <c r="A22" i="1"/>
  <c r="B21" i="1"/>
  <c r="Q17" i="1"/>
  <c r="T17" i="1" l="1"/>
  <c r="N18" i="1"/>
  <c r="S18" i="1"/>
  <c r="C21" i="1"/>
  <c r="A23" i="1"/>
  <c r="B22" i="1"/>
  <c r="Q18" i="1"/>
  <c r="T18" i="1" l="1"/>
  <c r="N19" i="1"/>
  <c r="S19" i="1"/>
  <c r="C22" i="1"/>
  <c r="A24" i="1"/>
  <c r="B23" i="1"/>
  <c r="Q19" i="1"/>
  <c r="T19" i="1" l="1"/>
  <c r="N20" i="1"/>
  <c r="S20" i="1"/>
  <c r="C23" i="1"/>
  <c r="A25" i="1"/>
  <c r="B24" i="1"/>
  <c r="Q20" i="1"/>
  <c r="T20" i="1" l="1"/>
  <c r="N21" i="1"/>
  <c r="S21" i="1"/>
  <c r="C24" i="1"/>
  <c r="A26" i="1"/>
  <c r="B25" i="1"/>
  <c r="Q21" i="1"/>
  <c r="T21" i="1" l="1"/>
  <c r="N22" i="1"/>
  <c r="S22" i="1"/>
  <c r="C25" i="1"/>
  <c r="A27" i="1"/>
  <c r="B26" i="1"/>
  <c r="Q22" i="1"/>
  <c r="T22" i="1" l="1"/>
  <c r="N23" i="1"/>
  <c r="S23" i="1"/>
  <c r="C26" i="1"/>
  <c r="A28" i="1"/>
  <c r="B27" i="1"/>
  <c r="Q23" i="1"/>
  <c r="T23" i="1" l="1"/>
  <c r="N24" i="1"/>
  <c r="S24" i="1"/>
  <c r="C27" i="1"/>
  <c r="A29" i="1"/>
  <c r="B28" i="1"/>
  <c r="Q24" i="1"/>
  <c r="T24" i="1" l="1"/>
  <c r="N25" i="1"/>
  <c r="S25" i="1"/>
  <c r="C28" i="1"/>
  <c r="A30" i="1"/>
  <c r="B29" i="1"/>
  <c r="Q25" i="1"/>
  <c r="T25" i="1" l="1"/>
  <c r="N26" i="1"/>
  <c r="S26" i="1"/>
  <c r="C29" i="1"/>
  <c r="A31" i="1"/>
  <c r="B30" i="1"/>
  <c r="Q26" i="1"/>
  <c r="T26" i="1" l="1"/>
  <c r="N27" i="1"/>
  <c r="S27" i="1"/>
  <c r="C30" i="1"/>
  <c r="A32" i="1"/>
  <c r="B31" i="1"/>
  <c r="Q27" i="1"/>
  <c r="T27" i="1" l="1"/>
  <c r="N28" i="1"/>
  <c r="S28" i="1"/>
  <c r="C31" i="1"/>
  <c r="A33" i="1"/>
  <c r="B32" i="1"/>
  <c r="C32" i="1" s="1"/>
  <c r="Q28" i="1"/>
  <c r="T28" i="1" l="1"/>
  <c r="N29" i="1"/>
  <c r="S29" i="1"/>
  <c r="A34" i="1"/>
  <c r="B33" i="1"/>
  <c r="C33" i="1" s="1"/>
  <c r="Q29" i="1"/>
  <c r="T29" i="1" l="1"/>
  <c r="N30" i="1"/>
  <c r="S30" i="1"/>
  <c r="A35" i="1"/>
  <c r="B34" i="1"/>
  <c r="C34" i="1" s="1"/>
  <c r="Q30" i="1"/>
  <c r="T30" i="1" l="1"/>
  <c r="N31" i="1"/>
  <c r="S31" i="1"/>
  <c r="A36" i="1"/>
  <c r="B35" i="1"/>
  <c r="C35" i="1" s="1"/>
  <c r="Q31" i="1"/>
  <c r="T31" i="1" l="1"/>
  <c r="N32" i="1"/>
  <c r="S32" i="1"/>
  <c r="A37" i="1"/>
  <c r="B36" i="1"/>
  <c r="C36" i="1" s="1"/>
  <c r="Q32" i="1"/>
  <c r="T32" i="1" l="1"/>
  <c r="N33" i="1"/>
  <c r="S33" i="1"/>
  <c r="A38" i="1"/>
  <c r="B37" i="1"/>
  <c r="C37" i="1" s="1"/>
  <c r="Q33" i="1"/>
  <c r="T33" i="1" l="1"/>
  <c r="N34" i="1"/>
  <c r="S34" i="1"/>
  <c r="A39" i="1"/>
  <c r="B38" i="1"/>
  <c r="C38" i="1" s="1"/>
  <c r="Q34" i="1"/>
  <c r="T34" i="1" l="1"/>
  <c r="N35" i="1"/>
  <c r="S35" i="1"/>
  <c r="B39" i="1"/>
  <c r="C39" i="1" s="1"/>
  <c r="Q35" i="1"/>
  <c r="T35" i="1" l="1"/>
  <c r="N36" i="1"/>
  <c r="S36" i="1"/>
  <c r="Q36" i="1"/>
  <c r="T36" i="1" l="1"/>
  <c r="N37" i="1"/>
  <c r="S37" i="1"/>
  <c r="Q37" i="1"/>
  <c r="T37" i="1" l="1"/>
  <c r="N38" i="1"/>
  <c r="S38" i="1"/>
  <c r="Q38" i="1"/>
  <c r="T38" i="1" l="1"/>
  <c r="N39" i="1"/>
  <c r="S39" i="1"/>
  <c r="Q39" i="1"/>
  <c r="T39" i="1" l="1"/>
  <c r="N40" i="1"/>
  <c r="S40" i="1"/>
  <c r="Q40" i="1"/>
  <c r="T40" i="1" l="1"/>
  <c r="N41" i="1"/>
  <c r="S41" i="1"/>
  <c r="Q41" i="1"/>
  <c r="T41" i="1" l="1"/>
  <c r="N42" i="1"/>
  <c r="S42" i="1"/>
  <c r="Q42" i="1"/>
  <c r="T42" i="1" l="1"/>
  <c r="N43" i="1"/>
  <c r="S43" i="1"/>
  <c r="Q43" i="1"/>
  <c r="T43" i="1" l="1"/>
  <c r="N44" i="1"/>
  <c r="S44" i="1"/>
  <c r="Q44" i="1"/>
  <c r="T44" i="1" l="1"/>
  <c r="N45" i="1"/>
  <c r="S45" i="1"/>
  <c r="Q45" i="1"/>
  <c r="T45" i="1" l="1"/>
  <c r="N46" i="1"/>
  <c r="S46" i="1"/>
  <c r="A51" i="1"/>
  <c r="Q46" i="1"/>
  <c r="T46" i="1" l="1"/>
  <c r="N47" i="1"/>
  <c r="S47" i="1"/>
  <c r="A52" i="1"/>
  <c r="B51" i="1"/>
  <c r="C51" i="1" s="1"/>
  <c r="Q47" i="1"/>
  <c r="T47" i="1" l="1"/>
  <c r="N48" i="1"/>
  <c r="S48" i="1"/>
  <c r="A53" i="1"/>
  <c r="B53" i="1" s="1"/>
  <c r="C53" i="1" s="1"/>
  <c r="B52" i="1"/>
  <c r="C52" i="1" s="1"/>
  <c r="Q48" i="1"/>
  <c r="T48" i="1" l="1"/>
  <c r="N49" i="1"/>
  <c r="S49" i="1"/>
  <c r="Q49" i="1"/>
  <c r="T49" i="1" l="1"/>
  <c r="N50" i="1"/>
  <c r="S50" i="1"/>
  <c r="Q50" i="1"/>
  <c r="T50" i="1" l="1"/>
  <c r="N51" i="1"/>
  <c r="S51" i="1"/>
  <c r="Q51" i="1"/>
  <c r="T51" i="1" l="1"/>
  <c r="N52" i="1"/>
  <c r="S52" i="1"/>
  <c r="Q52" i="1"/>
  <c r="T52" i="1" l="1"/>
  <c r="N53" i="1"/>
  <c r="S53" i="1"/>
  <c r="Q53" i="1"/>
  <c r="T53" i="1" l="1"/>
  <c r="N54" i="1"/>
  <c r="S54" i="1"/>
  <c r="Q54" i="1"/>
  <c r="T54" i="1" l="1"/>
  <c r="N55" i="1"/>
  <c r="S55" i="1"/>
  <c r="Q55" i="1"/>
  <c r="T55" i="1" l="1"/>
  <c r="N56" i="1"/>
  <c r="S56" i="1"/>
  <c r="Q56" i="1"/>
  <c r="T56" i="1" l="1"/>
  <c r="N57" i="1"/>
  <c r="S57" i="1"/>
  <c r="Q57" i="1"/>
  <c r="T57" i="1" l="1"/>
  <c r="N58" i="1"/>
  <c r="S58" i="1"/>
  <c r="Q58" i="1"/>
  <c r="T58" i="1" l="1"/>
  <c r="N59" i="1"/>
  <c r="S59" i="1"/>
  <c r="Q59" i="1"/>
  <c r="T59" i="1" l="1"/>
  <c r="N60" i="1"/>
  <c r="S60" i="1"/>
  <c r="Q60" i="1"/>
  <c r="T60" i="1" l="1"/>
  <c r="N61" i="1"/>
  <c r="S61" i="1"/>
  <c r="Q61" i="1"/>
  <c r="T61" i="1" l="1"/>
  <c r="N62" i="1"/>
  <c r="S62" i="1"/>
  <c r="Q62" i="1"/>
  <c r="T62" i="1" l="1"/>
  <c r="N63" i="1"/>
  <c r="S63" i="1"/>
  <c r="Q63" i="1"/>
  <c r="T63" i="1" l="1"/>
  <c r="N64" i="1"/>
  <c r="S64" i="1"/>
  <c r="Q64" i="1"/>
  <c r="T64" i="1" l="1"/>
  <c r="N65" i="1"/>
  <c r="S65" i="1"/>
  <c r="Q65" i="1"/>
  <c r="T65" i="1" l="1"/>
  <c r="N66" i="1"/>
  <c r="S66" i="1"/>
  <c r="Q66" i="1"/>
  <c r="T66" i="1" l="1"/>
  <c r="N67" i="1"/>
  <c r="S67" i="1"/>
  <c r="Q67" i="1"/>
  <c r="T67" i="1" l="1"/>
  <c r="N68" i="1"/>
  <c r="S68" i="1"/>
  <c r="Q68" i="1"/>
  <c r="T68" i="1" l="1"/>
  <c r="N69" i="1"/>
  <c r="S69" i="1"/>
  <c r="Q69" i="1"/>
  <c r="T69" i="1" l="1"/>
  <c r="N70" i="1"/>
  <c r="S70" i="1"/>
  <c r="Q70" i="1"/>
  <c r="T70" i="1" l="1"/>
  <c r="N71" i="1"/>
  <c r="S71" i="1"/>
  <c r="Q71" i="1"/>
  <c r="T71" i="1" l="1"/>
  <c r="N72" i="1"/>
  <c r="S72" i="1"/>
  <c r="Q72" i="1"/>
  <c r="T72" i="1" l="1"/>
  <c r="N73" i="1"/>
  <c r="S73" i="1"/>
  <c r="Q73" i="1"/>
  <c r="T73" i="1" l="1"/>
  <c r="N74" i="1"/>
  <c r="S74" i="1"/>
  <c r="Q74" i="1"/>
  <c r="T74" i="1" l="1"/>
  <c r="N75" i="1"/>
  <c r="S75" i="1"/>
  <c r="Q75" i="1"/>
  <c r="T75" i="1" l="1"/>
  <c r="N76" i="1"/>
  <c r="S76" i="1"/>
  <c r="Q76" i="1"/>
  <c r="T76" i="1" l="1"/>
  <c r="N77" i="1"/>
  <c r="S77" i="1"/>
  <c r="Q77" i="1"/>
  <c r="T77" i="1" l="1"/>
  <c r="N78" i="1"/>
  <c r="S78" i="1"/>
  <c r="Q78" i="1"/>
  <c r="T78" i="1" l="1"/>
  <c r="N79" i="1"/>
  <c r="S79" i="1"/>
  <c r="Q79" i="1"/>
  <c r="T79" i="1" l="1"/>
  <c r="N80" i="1"/>
  <c r="S80" i="1"/>
  <c r="Q80" i="1"/>
  <c r="T80" i="1" l="1"/>
  <c r="N81" i="1"/>
  <c r="S81" i="1"/>
  <c r="Q81" i="1"/>
  <c r="T81" i="1" l="1"/>
  <c r="N82" i="1"/>
  <c r="S82" i="1"/>
  <c r="Q82" i="1"/>
  <c r="T82" i="1" l="1"/>
  <c r="N83" i="1"/>
  <c r="S83" i="1"/>
  <c r="Q83" i="1"/>
  <c r="T83" i="1" l="1"/>
  <c r="N84" i="1"/>
  <c r="S84" i="1"/>
  <c r="Q84" i="1"/>
  <c r="T84" i="1" l="1"/>
  <c r="N85" i="1"/>
  <c r="S85" i="1"/>
  <c r="Q85" i="1"/>
  <c r="T85" i="1" l="1"/>
  <c r="N86" i="1"/>
  <c r="S86" i="1"/>
  <c r="Q86" i="1"/>
  <c r="T86" i="1" l="1"/>
  <c r="N87" i="1"/>
  <c r="S87" i="1"/>
  <c r="Q87" i="1"/>
  <c r="T87" i="1" l="1"/>
  <c r="N88" i="1"/>
  <c r="S88" i="1"/>
  <c r="Q88" i="1"/>
  <c r="T88" i="1" l="1"/>
  <c r="N89" i="1"/>
  <c r="S89" i="1"/>
  <c r="Q89" i="1"/>
  <c r="T89" i="1" l="1"/>
  <c r="N90" i="1"/>
  <c r="S90" i="1"/>
  <c r="Q90" i="1"/>
  <c r="T90" i="1" l="1"/>
  <c r="N91" i="1"/>
  <c r="S91" i="1"/>
  <c r="Q91" i="1"/>
  <c r="T91" i="1" l="1"/>
  <c r="N92" i="1"/>
  <c r="S92" i="1"/>
  <c r="Q92" i="1"/>
  <c r="T92" i="1" l="1"/>
  <c r="N93" i="1"/>
  <c r="S93" i="1"/>
  <c r="Q93" i="1"/>
  <c r="T93" i="1" l="1"/>
  <c r="N94" i="1"/>
  <c r="S94" i="1"/>
  <c r="Q94" i="1"/>
  <c r="T94" i="1" l="1"/>
  <c r="N95" i="1"/>
  <c r="S95" i="1"/>
  <c r="Q95" i="1"/>
  <c r="T95" i="1" l="1"/>
  <c r="N96" i="1"/>
  <c r="S96" i="1"/>
  <c r="Q96" i="1"/>
  <c r="T96" i="1" l="1"/>
  <c r="N97" i="1"/>
  <c r="S97" i="1"/>
  <c r="Q97" i="1"/>
  <c r="T97" i="1" l="1"/>
  <c r="N98" i="1"/>
  <c r="S98" i="1"/>
  <c r="Q98" i="1"/>
  <c r="T98" i="1" l="1"/>
  <c r="N99" i="1"/>
  <c r="S99" i="1"/>
  <c r="Q99" i="1"/>
  <c r="T99" i="1" l="1"/>
  <c r="N100" i="1"/>
  <c r="S100" i="1"/>
  <c r="Q100" i="1"/>
  <c r="T100" i="1" l="1"/>
  <c r="N101" i="1"/>
  <c r="S101" i="1"/>
  <c r="Q101" i="1"/>
  <c r="T101" i="1" l="1"/>
  <c r="N102" i="1"/>
  <c r="S102" i="1"/>
  <c r="Q102" i="1"/>
  <c r="T102" i="1" l="1"/>
  <c r="N103" i="1"/>
  <c r="S103" i="1"/>
  <c r="Q103" i="1"/>
  <c r="T103" i="1" l="1"/>
  <c r="N104" i="1"/>
  <c r="S104" i="1"/>
  <c r="Q104" i="1"/>
  <c r="T104" i="1" l="1"/>
  <c r="N105" i="1"/>
  <c r="S105" i="1"/>
  <c r="Q105" i="1"/>
  <c r="T105" i="1" l="1"/>
  <c r="N106" i="1"/>
  <c r="S106" i="1"/>
  <c r="Q106" i="1"/>
  <c r="T106" i="1" l="1"/>
  <c r="N107" i="1"/>
  <c r="S107" i="1"/>
  <c r="Q107" i="1"/>
  <c r="T107" i="1" l="1"/>
  <c r="N108" i="1"/>
  <c r="S108" i="1"/>
  <c r="Q108" i="1"/>
  <c r="T108" i="1" l="1"/>
  <c r="N109" i="1"/>
  <c r="S109" i="1"/>
  <c r="Q109" i="1"/>
  <c r="T109" i="1" l="1"/>
  <c r="N110" i="1"/>
  <c r="S110" i="1"/>
  <c r="Q110" i="1"/>
  <c r="T110" i="1" l="1"/>
  <c r="N111" i="1"/>
  <c r="S111" i="1"/>
  <c r="Q111" i="1"/>
  <c r="T111" i="1" l="1"/>
  <c r="N112" i="1"/>
  <c r="S112" i="1"/>
  <c r="Q112" i="1"/>
  <c r="T112" i="1" l="1"/>
  <c r="N113" i="1"/>
  <c r="S113" i="1"/>
  <c r="Q113" i="1"/>
  <c r="T113" i="1" l="1"/>
  <c r="N114" i="1"/>
  <c r="S114" i="1"/>
  <c r="Q114" i="1"/>
  <c r="T114" i="1" l="1"/>
  <c r="N115" i="1"/>
  <c r="S115" i="1"/>
  <c r="Q115" i="1"/>
  <c r="T115" i="1" l="1"/>
  <c r="N116" i="1"/>
  <c r="S116" i="1"/>
  <c r="Q116" i="1"/>
  <c r="T116" i="1" l="1"/>
  <c r="N117" i="1"/>
  <c r="S117" i="1"/>
  <c r="Q117" i="1"/>
  <c r="T117" i="1" l="1"/>
  <c r="N118" i="1"/>
  <c r="S118" i="1"/>
  <c r="Q118" i="1"/>
  <c r="T118" i="1" l="1"/>
  <c r="N119" i="1"/>
  <c r="S119" i="1"/>
  <c r="Q119" i="1"/>
  <c r="T119" i="1" l="1"/>
  <c r="N120" i="1"/>
  <c r="S120" i="1"/>
  <c r="Q120" i="1"/>
  <c r="T120" i="1" l="1"/>
  <c r="N121" i="1"/>
  <c r="S121" i="1"/>
  <c r="Q121" i="1"/>
  <c r="T121" i="1" l="1"/>
  <c r="N122" i="1"/>
  <c r="S122" i="1"/>
  <c r="Q122" i="1"/>
  <c r="T122" i="1" l="1"/>
  <c r="N123" i="1"/>
  <c r="S123" i="1"/>
  <c r="Q123" i="1"/>
  <c r="T123" i="1" l="1"/>
  <c r="N124" i="1"/>
  <c r="S124" i="1"/>
  <c r="Q124" i="1"/>
  <c r="T124" i="1" l="1"/>
  <c r="N125" i="1"/>
  <c r="S125" i="1"/>
  <c r="Q125" i="1"/>
  <c r="T125" i="1" l="1"/>
  <c r="N126" i="1"/>
  <c r="S126" i="1"/>
  <c r="Q126" i="1"/>
  <c r="T126" i="1" l="1"/>
  <c r="N127" i="1"/>
  <c r="S127" i="1"/>
  <c r="Q127" i="1"/>
  <c r="T127" i="1" l="1"/>
  <c r="N128" i="1"/>
  <c r="S128" i="1"/>
  <c r="Q128" i="1"/>
  <c r="T128" i="1" l="1"/>
  <c r="N129" i="1"/>
  <c r="S129" i="1"/>
  <c r="Q129" i="1"/>
  <c r="T129" i="1" l="1"/>
  <c r="N130" i="1"/>
  <c r="S130" i="1"/>
  <c r="Q130" i="1"/>
  <c r="T130" i="1" l="1"/>
  <c r="N131" i="1"/>
  <c r="S131" i="1"/>
  <c r="Q131" i="1"/>
  <c r="T131" i="1" l="1"/>
  <c r="N132" i="1"/>
  <c r="S132" i="1"/>
  <c r="Q132" i="1"/>
  <c r="T132" i="1" l="1"/>
  <c r="N133" i="1"/>
  <c r="S133" i="1"/>
  <c r="Q133" i="1"/>
  <c r="T133" i="1" l="1"/>
  <c r="N134" i="1"/>
  <c r="S134" i="1"/>
  <c r="Q134" i="1"/>
  <c r="T134" i="1" l="1"/>
  <c r="N135" i="1"/>
  <c r="S135" i="1"/>
  <c r="Q135" i="1"/>
  <c r="T135" i="1" l="1"/>
  <c r="N136" i="1"/>
  <c r="S136" i="1"/>
  <c r="Q136" i="1"/>
  <c r="T136" i="1" l="1"/>
  <c r="N137" i="1"/>
  <c r="S137" i="1"/>
  <c r="Q137" i="1"/>
  <c r="T137" i="1" l="1"/>
  <c r="N138" i="1"/>
  <c r="S138" i="1"/>
  <c r="Q138" i="1"/>
  <c r="T138" i="1" l="1"/>
  <c r="N139" i="1"/>
  <c r="S139" i="1"/>
  <c r="Q139" i="1"/>
  <c r="T139" i="1" l="1"/>
  <c r="N140" i="1"/>
  <c r="S140" i="1"/>
  <c r="Q140" i="1"/>
  <c r="T140" i="1" l="1"/>
  <c r="N141" i="1"/>
  <c r="S141" i="1"/>
  <c r="Q141" i="1"/>
  <c r="T141" i="1" l="1"/>
  <c r="N142" i="1"/>
  <c r="S142" i="1"/>
  <c r="Q142" i="1"/>
  <c r="T142" i="1" l="1"/>
  <c r="N143" i="1"/>
  <c r="S143" i="1"/>
  <c r="Q143" i="1"/>
  <c r="T143" i="1" l="1"/>
  <c r="N144" i="1"/>
  <c r="S144" i="1"/>
  <c r="Q144" i="1"/>
  <c r="T144" i="1" l="1"/>
  <c r="N145" i="1"/>
  <c r="S145" i="1"/>
  <c r="Q145" i="1"/>
  <c r="T145" i="1" l="1"/>
  <c r="N146" i="1"/>
  <c r="S146" i="1"/>
  <c r="Q146" i="1"/>
  <c r="T146" i="1" l="1"/>
  <c r="N147" i="1"/>
  <c r="S147" i="1"/>
  <c r="Q147" i="1"/>
  <c r="T147" i="1" l="1"/>
  <c r="N148" i="1"/>
  <c r="S148" i="1"/>
  <c r="Q148" i="1"/>
  <c r="T148" i="1" l="1"/>
  <c r="N149" i="1"/>
  <c r="S149" i="1"/>
  <c r="Q149" i="1"/>
  <c r="T149" i="1" l="1"/>
  <c r="N150" i="1"/>
  <c r="S150" i="1"/>
  <c r="Q150" i="1"/>
  <c r="T150" i="1" l="1"/>
  <c r="N151" i="1"/>
  <c r="S151" i="1"/>
  <c r="Q151" i="1"/>
  <c r="T151" i="1" l="1"/>
  <c r="N152" i="1"/>
  <c r="S152" i="1"/>
  <c r="Q152" i="1"/>
  <c r="T152" i="1" l="1"/>
  <c r="N153" i="1"/>
  <c r="S153" i="1"/>
  <c r="Q153" i="1"/>
  <c r="T153" i="1" l="1"/>
  <c r="N154" i="1"/>
  <c r="S154" i="1"/>
  <c r="Q154" i="1"/>
  <c r="T154" i="1" l="1"/>
  <c r="N155" i="1"/>
  <c r="S155" i="1"/>
  <c r="Q155" i="1"/>
  <c r="T155" i="1" l="1"/>
  <c r="N156" i="1"/>
  <c r="S156" i="1"/>
  <c r="Q156" i="1"/>
  <c r="T156" i="1" l="1"/>
  <c r="N157" i="1"/>
  <c r="S157" i="1"/>
  <c r="Q157" i="1"/>
  <c r="T157" i="1" l="1"/>
  <c r="N158" i="1"/>
  <c r="S158" i="1"/>
  <c r="Q158" i="1"/>
  <c r="T158" i="1" l="1"/>
  <c r="N159" i="1"/>
  <c r="S159" i="1"/>
  <c r="Q159" i="1"/>
  <c r="T159" i="1" l="1"/>
  <c r="N160" i="1"/>
  <c r="S160" i="1"/>
  <c r="Q160" i="1"/>
  <c r="T160" i="1" l="1"/>
  <c r="N161" i="1"/>
  <c r="S161" i="1"/>
  <c r="Q161" i="1"/>
  <c r="T161" i="1" l="1"/>
  <c r="N162" i="1"/>
  <c r="S162" i="1"/>
  <c r="Q162" i="1"/>
  <c r="T162" i="1" l="1"/>
  <c r="N163" i="1"/>
  <c r="S163" i="1"/>
  <c r="Q163" i="1"/>
  <c r="T163" i="1" l="1"/>
  <c r="N164" i="1"/>
  <c r="S164" i="1"/>
  <c r="Q164" i="1"/>
  <c r="T164" i="1" l="1"/>
  <c r="N165" i="1"/>
  <c r="S165" i="1"/>
  <c r="Q165" i="1"/>
  <c r="T165" i="1" l="1"/>
  <c r="N166" i="1"/>
  <c r="S166" i="1"/>
  <c r="Q166" i="1"/>
  <c r="T166" i="1" l="1"/>
  <c r="N167" i="1"/>
  <c r="S167" i="1"/>
  <c r="Q167" i="1"/>
  <c r="T167" i="1" l="1"/>
  <c r="N168" i="1"/>
  <c r="S168" i="1"/>
  <c r="Q168" i="1"/>
  <c r="T168" i="1" l="1"/>
  <c r="N169" i="1"/>
  <c r="S169" i="1"/>
  <c r="Q169" i="1"/>
  <c r="T169" i="1" l="1"/>
  <c r="N170" i="1"/>
  <c r="S170" i="1"/>
  <c r="Q170" i="1"/>
  <c r="T170" i="1" l="1"/>
  <c r="N171" i="1"/>
  <c r="S171" i="1"/>
  <c r="Q171" i="1"/>
  <c r="T171" i="1" l="1"/>
  <c r="N172" i="1"/>
  <c r="S172" i="1"/>
  <c r="Q172" i="1"/>
  <c r="T172" i="1" l="1"/>
  <c r="N173" i="1"/>
  <c r="S173" i="1"/>
  <c r="Q173" i="1"/>
  <c r="T173" i="1" l="1"/>
  <c r="N174" i="1"/>
  <c r="S174" i="1"/>
  <c r="Q174" i="1"/>
  <c r="T174" i="1" l="1"/>
  <c r="N175" i="1"/>
  <c r="S175" i="1"/>
  <c r="Q175" i="1"/>
  <c r="T175" i="1" l="1"/>
  <c r="N176" i="1"/>
  <c r="S176" i="1"/>
  <c r="Q176" i="1"/>
  <c r="T176" i="1" l="1"/>
  <c r="N177" i="1"/>
  <c r="S177" i="1"/>
  <c r="Q177" i="1"/>
  <c r="T177" i="1" l="1"/>
  <c r="N178" i="1"/>
  <c r="S178" i="1"/>
  <c r="Q178" i="1"/>
  <c r="T178" i="1" l="1"/>
  <c r="N179" i="1"/>
  <c r="S179" i="1"/>
  <c r="Q179" i="1"/>
  <c r="T179" i="1" l="1"/>
  <c r="N180" i="1"/>
  <c r="S180" i="1"/>
  <c r="Q180" i="1"/>
  <c r="T180" i="1" l="1"/>
  <c r="N181" i="1"/>
  <c r="S181" i="1"/>
  <c r="Q181" i="1"/>
  <c r="T181" i="1" l="1"/>
  <c r="N182" i="1"/>
  <c r="S182" i="1"/>
  <c r="Q182" i="1"/>
  <c r="T182" i="1" l="1"/>
  <c r="N183" i="1"/>
  <c r="S183" i="1"/>
  <c r="Q183" i="1"/>
  <c r="T183" i="1" l="1"/>
  <c r="N184" i="1"/>
  <c r="S184" i="1"/>
  <c r="Q184" i="1"/>
  <c r="T184" i="1" l="1"/>
  <c r="N185" i="1"/>
  <c r="S185" i="1"/>
  <c r="Q185" i="1"/>
  <c r="T185" i="1" l="1"/>
  <c r="N186" i="1"/>
  <c r="S186" i="1"/>
  <c r="Q186" i="1"/>
  <c r="T186" i="1" l="1"/>
  <c r="N187" i="1"/>
  <c r="S187" i="1"/>
  <c r="Q187" i="1"/>
  <c r="T187" i="1" l="1"/>
  <c r="N188" i="1"/>
  <c r="S188" i="1"/>
  <c r="Q188" i="1"/>
  <c r="T188" i="1" l="1"/>
  <c r="N189" i="1"/>
  <c r="S189" i="1"/>
  <c r="Q189" i="1"/>
  <c r="T189" i="1" l="1"/>
  <c r="N190" i="1"/>
  <c r="S190" i="1"/>
  <c r="Q190" i="1"/>
  <c r="T190" i="1" l="1"/>
  <c r="N191" i="1"/>
  <c r="S191" i="1"/>
  <c r="Q191" i="1"/>
  <c r="T191" i="1" l="1"/>
  <c r="N192" i="1"/>
  <c r="S192" i="1"/>
  <c r="Q192" i="1"/>
  <c r="T192" i="1" l="1"/>
  <c r="N193" i="1"/>
  <c r="S193" i="1"/>
  <c r="Q193" i="1"/>
  <c r="T193" i="1" l="1"/>
  <c r="N194" i="1"/>
  <c r="S194" i="1"/>
  <c r="Q194" i="1"/>
  <c r="T194" i="1" l="1"/>
  <c r="N195" i="1"/>
  <c r="S195" i="1"/>
  <c r="Q195" i="1"/>
  <c r="T195" i="1" l="1"/>
  <c r="N196" i="1"/>
  <c r="S196" i="1"/>
  <c r="Q196" i="1"/>
  <c r="T196" i="1" l="1"/>
  <c r="N197" i="1"/>
  <c r="S197" i="1"/>
  <c r="Q197" i="1"/>
  <c r="T197" i="1" l="1"/>
  <c r="N198" i="1"/>
  <c r="S198" i="1"/>
  <c r="Q198" i="1"/>
  <c r="T198" i="1" l="1"/>
  <c r="N199" i="1"/>
  <c r="S199" i="1"/>
  <c r="Q199" i="1"/>
  <c r="T199" i="1" l="1"/>
  <c r="N200" i="1"/>
  <c r="S200" i="1"/>
  <c r="Q200" i="1"/>
  <c r="T200" i="1" l="1"/>
  <c r="N201" i="1"/>
  <c r="S201" i="1"/>
  <c r="Q201" i="1"/>
  <c r="T201" i="1" l="1"/>
  <c r="N202" i="1"/>
  <c r="S202" i="1"/>
  <c r="Q202" i="1"/>
  <c r="T202" i="1" l="1"/>
  <c r="N203" i="1"/>
  <c r="S203" i="1"/>
  <c r="Q203" i="1"/>
  <c r="T203" i="1" l="1"/>
  <c r="N204" i="1"/>
  <c r="S204" i="1"/>
  <c r="Q204" i="1"/>
  <c r="T204" i="1" l="1"/>
  <c r="N205" i="1"/>
  <c r="S205" i="1"/>
  <c r="Q205" i="1"/>
  <c r="T205" i="1" l="1"/>
  <c r="N206" i="1"/>
  <c r="S206" i="1"/>
  <c r="Q206" i="1"/>
  <c r="T206" i="1" l="1"/>
  <c r="N207" i="1"/>
  <c r="S207" i="1"/>
  <c r="Q207" i="1"/>
  <c r="T207" i="1" l="1"/>
  <c r="N208" i="1"/>
  <c r="S208" i="1"/>
  <c r="Q208" i="1"/>
  <c r="T208" i="1" l="1"/>
  <c r="N209" i="1"/>
  <c r="S209" i="1"/>
  <c r="Q209" i="1"/>
  <c r="T209" i="1" l="1"/>
  <c r="N210" i="1"/>
  <c r="S210" i="1"/>
  <c r="Q210" i="1"/>
  <c r="T210" i="1" l="1"/>
  <c r="N211" i="1"/>
  <c r="S211" i="1"/>
  <c r="Q211" i="1"/>
  <c r="T211" i="1" l="1"/>
  <c r="N212" i="1"/>
  <c r="S212" i="1"/>
  <c r="Q212" i="1"/>
  <c r="T212" i="1" l="1"/>
  <c r="N213" i="1"/>
  <c r="S213" i="1"/>
  <c r="Q213" i="1"/>
  <c r="T213" i="1" l="1"/>
  <c r="N214" i="1"/>
  <c r="S214" i="1"/>
  <c r="Q214" i="1"/>
  <c r="T214" i="1" l="1"/>
  <c r="N215" i="1"/>
  <c r="S215" i="1"/>
  <c r="Q215" i="1"/>
  <c r="T215" i="1" l="1"/>
  <c r="N216" i="1"/>
  <c r="S216" i="1"/>
  <c r="Q216" i="1"/>
  <c r="T216" i="1" l="1"/>
  <c r="N217" i="1"/>
  <c r="S217" i="1"/>
  <c r="Q217" i="1"/>
  <c r="T217" i="1" l="1"/>
  <c r="N218" i="1"/>
  <c r="S218" i="1"/>
  <c r="Q218" i="1"/>
  <c r="T218" i="1" l="1"/>
  <c r="N219" i="1"/>
  <c r="S219" i="1"/>
  <c r="Q219" i="1"/>
  <c r="T219" i="1" l="1"/>
  <c r="N220" i="1"/>
  <c r="S220" i="1"/>
  <c r="Q220" i="1"/>
  <c r="T220" i="1" l="1"/>
  <c r="N221" i="1"/>
  <c r="S221" i="1"/>
  <c r="Q221" i="1"/>
  <c r="T221" i="1" l="1"/>
  <c r="N222" i="1"/>
  <c r="S222" i="1"/>
  <c r="Q222" i="1"/>
  <c r="T222" i="1" l="1"/>
  <c r="N223" i="1"/>
  <c r="S223" i="1"/>
  <c r="Q223" i="1"/>
  <c r="T223" i="1" l="1"/>
  <c r="N224" i="1"/>
  <c r="S224" i="1"/>
  <c r="Q224" i="1"/>
  <c r="T224" i="1" l="1"/>
  <c r="N225" i="1"/>
  <c r="S225" i="1"/>
  <c r="Q225" i="1"/>
  <c r="T225" i="1" l="1"/>
  <c r="N226" i="1"/>
  <c r="S226" i="1"/>
  <c r="Q226" i="1"/>
  <c r="T226" i="1" l="1"/>
  <c r="N227" i="1"/>
  <c r="S227" i="1"/>
  <c r="Q227" i="1"/>
  <c r="T227" i="1" l="1"/>
  <c r="N228" i="1"/>
  <c r="S228" i="1"/>
  <c r="Q228" i="1"/>
  <c r="T228" i="1" l="1"/>
  <c r="N229" i="1"/>
  <c r="S229" i="1"/>
  <c r="Q229" i="1"/>
  <c r="T229" i="1" l="1"/>
  <c r="N230" i="1"/>
  <c r="S230" i="1"/>
  <c r="Q230" i="1"/>
  <c r="T230" i="1" l="1"/>
  <c r="N231" i="1"/>
  <c r="S231" i="1"/>
  <c r="Q231" i="1"/>
  <c r="T231" i="1" l="1"/>
  <c r="N232" i="1"/>
  <c r="S232" i="1"/>
  <c r="Q232" i="1"/>
  <c r="T232" i="1" l="1"/>
  <c r="N233" i="1"/>
  <c r="S233" i="1"/>
  <c r="Q233" i="1"/>
  <c r="T233" i="1" l="1"/>
  <c r="N234" i="1"/>
  <c r="S234" i="1"/>
  <c r="Q234" i="1"/>
  <c r="T234" i="1" l="1"/>
  <c r="N235" i="1"/>
  <c r="S235" i="1"/>
  <c r="Q235" i="1"/>
  <c r="T235" i="1" l="1"/>
  <c r="N236" i="1"/>
  <c r="S236" i="1"/>
  <c r="Q236" i="1"/>
  <c r="T236" i="1" l="1"/>
  <c r="N237" i="1"/>
  <c r="S237" i="1"/>
  <c r="Q237" i="1"/>
  <c r="T237" i="1" l="1"/>
  <c r="N238" i="1"/>
  <c r="S238" i="1"/>
  <c r="Q238" i="1"/>
  <c r="T238" i="1" l="1"/>
  <c r="N239" i="1"/>
  <c r="S239" i="1"/>
  <c r="Q239" i="1"/>
  <c r="T239" i="1" l="1"/>
  <c r="N240" i="1"/>
  <c r="S240" i="1"/>
  <c r="Q240" i="1"/>
  <c r="T240" i="1" l="1"/>
  <c r="N241" i="1"/>
  <c r="S241" i="1"/>
  <c r="Q241" i="1"/>
  <c r="T241" i="1" l="1"/>
  <c r="N242" i="1"/>
  <c r="S242" i="1"/>
  <c r="Q242" i="1"/>
  <c r="T242" i="1" l="1"/>
  <c r="N243" i="1"/>
  <c r="S243" i="1"/>
  <c r="Q243" i="1"/>
  <c r="T243" i="1" l="1"/>
  <c r="N244" i="1"/>
  <c r="S244" i="1"/>
  <c r="Q244" i="1"/>
  <c r="T244" i="1" l="1"/>
  <c r="N245" i="1"/>
  <c r="S245" i="1"/>
  <c r="Q245" i="1"/>
  <c r="T245" i="1" l="1"/>
  <c r="N246" i="1"/>
  <c r="S246" i="1"/>
  <c r="Q246" i="1"/>
  <c r="T246" i="1" l="1"/>
  <c r="N247" i="1"/>
  <c r="S247" i="1"/>
  <c r="Q247" i="1"/>
  <c r="T247" i="1" l="1"/>
  <c r="N248" i="1"/>
  <c r="S248" i="1"/>
  <c r="Q248" i="1"/>
  <c r="T248" i="1" l="1"/>
  <c r="N249" i="1"/>
  <c r="S249" i="1"/>
  <c r="Q249" i="1"/>
  <c r="T249" i="1" l="1"/>
  <c r="N250" i="1"/>
  <c r="S250" i="1"/>
  <c r="Q250" i="1"/>
  <c r="T250" i="1" l="1"/>
  <c r="N251" i="1"/>
  <c r="S251" i="1"/>
  <c r="Q251" i="1"/>
  <c r="T251" i="1" l="1"/>
  <c r="N252" i="1"/>
  <c r="S252" i="1"/>
  <c r="Q252" i="1"/>
  <c r="T252" i="1" l="1"/>
  <c r="N253" i="1"/>
  <c r="S253" i="1"/>
  <c r="Q253" i="1"/>
  <c r="T253" i="1" l="1"/>
  <c r="N254" i="1"/>
  <c r="S254" i="1"/>
  <c r="Q254" i="1"/>
  <c r="T254" i="1" l="1"/>
  <c r="N255" i="1"/>
  <c r="S255" i="1"/>
  <c r="Q255" i="1"/>
  <c r="T255" i="1" l="1"/>
  <c r="N256" i="1"/>
  <c r="S256" i="1"/>
  <c r="Q256" i="1"/>
  <c r="T256" i="1" l="1"/>
  <c r="N257" i="1"/>
  <c r="S257" i="1"/>
  <c r="Q257" i="1"/>
  <c r="T257" i="1" l="1"/>
  <c r="N258" i="1"/>
  <c r="S258" i="1"/>
  <c r="Q258" i="1"/>
  <c r="T258" i="1" l="1"/>
  <c r="N259" i="1"/>
  <c r="S259" i="1"/>
  <c r="Q259" i="1"/>
  <c r="T259" i="1" l="1"/>
  <c r="N260" i="1"/>
  <c r="S260" i="1"/>
  <c r="Q260" i="1"/>
  <c r="T260" i="1" l="1"/>
  <c r="N261" i="1"/>
  <c r="S261" i="1"/>
  <c r="Q261" i="1"/>
  <c r="T261" i="1" l="1"/>
  <c r="N262" i="1"/>
  <c r="S262" i="1"/>
  <c r="Q262" i="1"/>
  <c r="T262" i="1" l="1"/>
  <c r="N263" i="1"/>
  <c r="S263" i="1"/>
  <c r="Q263" i="1"/>
  <c r="T263" i="1" l="1"/>
  <c r="N264" i="1"/>
  <c r="S264" i="1"/>
  <c r="Q264" i="1"/>
  <c r="T264" i="1" l="1"/>
  <c r="V2" i="1"/>
  <c r="X1" i="2"/>
  <c r="Y1" i="2"/>
  <c r="Z1" i="2" l="1"/>
  <c r="AB1" i="2"/>
  <c r="AC1" i="2"/>
  <c r="AA1" i="2"/>
  <c r="AD1" i="2"/>
  <c r="AE1" i="2" l="1"/>
  <c r="X2" i="2" l="1"/>
  <c r="Y2" i="2" s="1"/>
  <c r="AA2" i="2" l="1"/>
  <c r="AB2" i="2"/>
  <c r="Z2" i="2"/>
  <c r="AC2" i="2"/>
  <c r="AD2" i="2"/>
  <c r="AE2" i="2" l="1"/>
  <c r="X3" i="2" l="1"/>
  <c r="Y3" i="2" s="1"/>
  <c r="AA3" i="2" l="1"/>
  <c r="AB3" i="2"/>
  <c r="Z3" i="2"/>
  <c r="AC3" i="2"/>
  <c r="AD3" i="2"/>
  <c r="AE3" i="2" l="1"/>
  <c r="X4" i="2" l="1"/>
  <c r="Z4" i="2" l="1"/>
  <c r="AC4" i="2"/>
  <c r="Y4" i="2"/>
  <c r="AD4" i="2"/>
  <c r="AA4" i="2" l="1"/>
  <c r="AB4" i="2"/>
  <c r="AE4" i="2" s="1"/>
  <c r="X5" i="2" l="1"/>
  <c r="Z5" i="2" l="1"/>
  <c r="AC5" i="2"/>
  <c r="Y5" i="2"/>
  <c r="AD5" i="2"/>
  <c r="AA5" i="2" l="1"/>
  <c r="AB5" i="2"/>
  <c r="AE5" i="2" s="1"/>
  <c r="X6" i="2" l="1"/>
  <c r="Y6" i="2" s="1"/>
  <c r="AA6" i="2" l="1"/>
  <c r="AB6" i="2"/>
  <c r="Z6" i="2"/>
  <c r="AC6" i="2"/>
  <c r="AD6" i="2"/>
  <c r="AE6" i="2" l="1"/>
  <c r="X7" i="2" l="1"/>
  <c r="Y7" i="2" s="1"/>
  <c r="AA7" i="2" l="1"/>
  <c r="AB7" i="2"/>
  <c r="Z7" i="2"/>
  <c r="AC7" i="2"/>
  <c r="AD7" i="2"/>
  <c r="AE7" i="2" l="1"/>
  <c r="X8" i="2" l="1"/>
  <c r="Z8" i="2" l="1"/>
  <c r="AC8" i="2"/>
  <c r="Y8" i="2"/>
  <c r="AD8" i="2"/>
  <c r="AA8" i="2" l="1"/>
  <c r="AB8" i="2"/>
  <c r="AE8" i="2" s="1"/>
  <c r="X9" i="2" l="1"/>
  <c r="Y9" i="2" s="1"/>
  <c r="AA9" i="2" l="1"/>
  <c r="AB9" i="2"/>
  <c r="Z9" i="2"/>
  <c r="AC9" i="2"/>
  <c r="AD9" i="2"/>
  <c r="AE9" i="2" l="1"/>
  <c r="X10" i="2" l="1"/>
  <c r="Y10" i="2" s="1"/>
  <c r="AA10" i="2" l="1"/>
  <c r="AB10" i="2"/>
  <c r="Z10" i="2"/>
  <c r="AC10" i="2"/>
  <c r="AD10" i="2"/>
  <c r="AE10" i="2" l="1"/>
  <c r="X11" i="2" l="1"/>
  <c r="Z11" i="2" l="1"/>
  <c r="AC11" i="2"/>
  <c r="Y11" i="2"/>
  <c r="AD11" i="2"/>
  <c r="AA11" i="2" l="1"/>
  <c r="AB11" i="2"/>
  <c r="AE11" i="2" s="1"/>
  <c r="X12" i="2" l="1"/>
  <c r="Y12" i="2" s="1"/>
  <c r="AA12" i="2" l="1"/>
  <c r="AB12" i="2"/>
  <c r="Z12" i="2"/>
  <c r="AC12" i="2"/>
  <c r="AD12" i="2"/>
  <c r="AE12" i="2" l="1"/>
  <c r="X13" i="2" l="1"/>
  <c r="Y13" i="2" s="1"/>
  <c r="AA13" i="2" l="1"/>
  <c r="AB13" i="2"/>
  <c r="Z13" i="2"/>
  <c r="AC13" i="2"/>
  <c r="AD13" i="2"/>
  <c r="AE13" i="2" l="1"/>
  <c r="X14" i="2" l="1"/>
  <c r="Y14" i="2" s="1"/>
  <c r="AA14" i="2" l="1"/>
  <c r="AB14" i="2"/>
  <c r="Z14" i="2"/>
  <c r="AC14" i="2"/>
  <c r="AD14" i="2"/>
  <c r="AE14" i="2" l="1"/>
  <c r="X15" i="2" l="1"/>
  <c r="Y15" i="2" s="1"/>
  <c r="AA15" i="2" l="1"/>
  <c r="AB15" i="2"/>
  <c r="Z15" i="2"/>
  <c r="AC15" i="2"/>
  <c r="AD15" i="2"/>
  <c r="AE15" i="2" l="1"/>
  <c r="X16" i="2" l="1"/>
  <c r="Y16" i="2" s="1"/>
  <c r="AA16" i="2" l="1"/>
  <c r="AB16" i="2"/>
  <c r="Z16" i="2"/>
  <c r="AC16" i="2"/>
  <c r="AD16" i="2"/>
  <c r="AE16" i="2" l="1"/>
  <c r="X17" i="2" l="1"/>
  <c r="Z17" i="2" l="1"/>
  <c r="AC17" i="2"/>
  <c r="Y17" i="2"/>
  <c r="AD17" i="2"/>
  <c r="AA17" i="2" l="1"/>
  <c r="AB17" i="2"/>
  <c r="AE17" i="2" s="1"/>
  <c r="X18" i="2" l="1"/>
  <c r="Y18" i="2" s="1"/>
  <c r="AA18" i="2" l="1"/>
  <c r="AB18" i="2"/>
  <c r="Z18" i="2"/>
  <c r="AC18" i="2"/>
  <c r="AD18" i="2"/>
  <c r="AE18" i="2" l="1"/>
  <c r="X19" i="2" l="1"/>
  <c r="Z19" i="2" l="1"/>
  <c r="AC19" i="2"/>
  <c r="Y19" i="2"/>
  <c r="AD19" i="2"/>
  <c r="AA19" i="2" l="1"/>
  <c r="AB19" i="2"/>
  <c r="AE19" i="2" s="1"/>
  <c r="X20" i="2" l="1"/>
  <c r="Z20" i="2" l="1"/>
  <c r="AC20" i="2"/>
  <c r="Y20" i="2"/>
  <c r="AD20" i="2"/>
  <c r="AA20" i="2" l="1"/>
  <c r="AB20" i="2"/>
  <c r="AE20" i="2" s="1"/>
  <c r="X21" i="2" l="1"/>
  <c r="Y21" i="2" s="1"/>
  <c r="AA21" i="2" l="1"/>
  <c r="AB21" i="2"/>
  <c r="Z21" i="2"/>
  <c r="AC21" i="2"/>
  <c r="AD21" i="2"/>
  <c r="AE21" i="2" l="1"/>
  <c r="X22" i="2" l="1"/>
  <c r="Z22" i="2" l="1"/>
  <c r="AC22" i="2"/>
  <c r="Y22" i="2"/>
  <c r="AD22" i="2"/>
  <c r="AA22" i="2" l="1"/>
  <c r="AB22" i="2"/>
  <c r="AE22" i="2" s="1"/>
  <c r="X23" i="2" l="1"/>
  <c r="Y23" i="2" s="1"/>
  <c r="AA23" i="2" l="1"/>
  <c r="AB23" i="2"/>
  <c r="Z23" i="2"/>
  <c r="AC23" i="2"/>
  <c r="AD23" i="2"/>
  <c r="AE23" i="2" l="1"/>
  <c r="X24" i="2" l="1"/>
  <c r="Y24" i="2" s="1"/>
  <c r="AA24" i="2" l="1"/>
  <c r="AB24" i="2"/>
  <c r="Z24" i="2"/>
  <c r="AC24" i="2"/>
  <c r="AD24" i="2"/>
  <c r="AE24" i="2" l="1"/>
  <c r="X25" i="2" l="1"/>
  <c r="Z25" i="2" l="1"/>
  <c r="AC25" i="2"/>
  <c r="Y25" i="2"/>
  <c r="AD25" i="2"/>
  <c r="AA25" i="2" l="1"/>
  <c r="AB25" i="2"/>
  <c r="AE25" i="2" s="1"/>
  <c r="X26" i="2" l="1"/>
  <c r="Y26" i="2" s="1"/>
  <c r="AA26" i="2" l="1"/>
  <c r="AB26" i="2"/>
  <c r="Z26" i="2"/>
  <c r="AC26" i="2"/>
  <c r="AD26" i="2"/>
  <c r="AE26" i="2" l="1"/>
  <c r="X27" i="2" l="1"/>
  <c r="Z27" i="2" l="1"/>
  <c r="AC27" i="2"/>
  <c r="Y27" i="2"/>
  <c r="AD27" i="2"/>
  <c r="AA27" i="2" l="1"/>
  <c r="AB27" i="2"/>
  <c r="AE27" i="2" s="1"/>
  <c r="X28" i="2" l="1"/>
  <c r="Y28" i="2" s="1"/>
  <c r="AA28" i="2" l="1"/>
  <c r="AB28" i="2"/>
  <c r="Z28" i="2"/>
  <c r="AC28" i="2"/>
  <c r="AD28" i="2"/>
  <c r="AE28" i="2" l="1"/>
  <c r="X29" i="2" l="1"/>
  <c r="Y29" i="2" s="1"/>
  <c r="AA29" i="2" l="1"/>
  <c r="AB29" i="2"/>
  <c r="Z29" i="2"/>
  <c r="AC29" i="2"/>
  <c r="AD29" i="2"/>
  <c r="AE29" i="2" l="1"/>
  <c r="X30" i="2" l="1"/>
  <c r="Z30" i="2" l="1"/>
  <c r="AC30" i="2"/>
  <c r="Y30" i="2"/>
  <c r="AD30" i="2"/>
  <c r="AA30" i="2" l="1"/>
  <c r="AB30" i="2"/>
  <c r="AE30" i="2" s="1"/>
  <c r="X31" i="2" l="1"/>
  <c r="Z31" i="2" l="1"/>
  <c r="AC31" i="2"/>
  <c r="Y31" i="2"/>
  <c r="AD31" i="2"/>
  <c r="AA31" i="2" l="1"/>
  <c r="AB31" i="2"/>
  <c r="AE31" i="2" s="1"/>
  <c r="X32" i="2" l="1"/>
  <c r="Y32" i="2" s="1"/>
  <c r="AA32" i="2" l="1"/>
  <c r="AB32" i="2"/>
  <c r="Z32" i="2"/>
  <c r="AC32" i="2"/>
  <c r="AD32" i="2"/>
  <c r="AE32" i="2" l="1"/>
  <c r="X33" i="2" l="1"/>
  <c r="Y33" i="2" s="1"/>
  <c r="AA33" i="2" l="1"/>
  <c r="AB33" i="2"/>
  <c r="Z33" i="2"/>
  <c r="AC33" i="2"/>
  <c r="AD33" i="2"/>
  <c r="AE33" i="2" l="1"/>
  <c r="X34" i="2" l="1"/>
  <c r="Y34" i="2" s="1"/>
  <c r="AA34" i="2" l="1"/>
  <c r="AB34" i="2"/>
  <c r="Z34" i="2"/>
  <c r="AC34" i="2"/>
  <c r="AD34" i="2"/>
  <c r="AE34" i="2" l="1"/>
  <c r="X35" i="2" l="1"/>
  <c r="Z35" i="2" l="1"/>
  <c r="AC35" i="2"/>
  <c r="Y35" i="2"/>
  <c r="AD35" i="2"/>
  <c r="AA35" i="2" l="1"/>
  <c r="AB35" i="2"/>
  <c r="AE35" i="2" s="1"/>
  <c r="X36" i="2" l="1"/>
  <c r="Z36" i="2" l="1"/>
  <c r="AC36" i="2"/>
  <c r="Y36" i="2"/>
  <c r="AD36" i="2"/>
  <c r="AA36" i="2" l="1"/>
  <c r="AB36" i="2"/>
  <c r="AE36" i="2" s="1"/>
  <c r="X37" i="2" l="1"/>
  <c r="Z37" i="2" l="1"/>
  <c r="AC37" i="2"/>
  <c r="Y37" i="2"/>
  <c r="AD37" i="2"/>
  <c r="AA37" i="2" l="1"/>
  <c r="AB37" i="2"/>
  <c r="AE37" i="2" s="1"/>
  <c r="X38" i="2" l="1"/>
  <c r="Z38" i="2" l="1"/>
  <c r="AC38" i="2"/>
  <c r="Y38" i="2"/>
  <c r="AD38" i="2"/>
  <c r="AA38" i="2" l="1"/>
  <c r="AB38" i="2"/>
  <c r="AE38" i="2" s="1"/>
  <c r="X39" i="2" l="1"/>
  <c r="Y39" i="2" s="1"/>
  <c r="AA39" i="2" l="1"/>
  <c r="AB39" i="2"/>
  <c r="Z39" i="2"/>
  <c r="AC39" i="2"/>
  <c r="AD39" i="2"/>
  <c r="AE39" i="2" l="1"/>
  <c r="X40" i="2" l="1"/>
  <c r="Y40" i="2" s="1"/>
  <c r="AA40" i="2" l="1"/>
  <c r="AB40" i="2"/>
  <c r="Z40" i="2"/>
  <c r="AC40" i="2"/>
  <c r="AD40" i="2"/>
  <c r="AE40" i="2" l="1"/>
  <c r="X41" i="2" l="1"/>
  <c r="Z41" i="2" l="1"/>
  <c r="AC41" i="2"/>
  <c r="Y41" i="2"/>
  <c r="AD41" i="2"/>
  <c r="AA41" i="2" l="1"/>
  <c r="AB41" i="2"/>
  <c r="AE41" i="2" s="1"/>
  <c r="X42" i="2" l="1"/>
  <c r="Z42" i="2" l="1"/>
  <c r="AC42" i="2"/>
  <c r="Y42" i="2"/>
  <c r="AD42" i="2"/>
  <c r="AA42" i="2" l="1"/>
  <c r="AB42" i="2"/>
  <c r="AE42" i="2" s="1"/>
  <c r="X43" i="2" l="1"/>
  <c r="Z43" i="2" l="1"/>
  <c r="AC43" i="2"/>
  <c r="Y43" i="2"/>
  <c r="AD43" i="2"/>
  <c r="AA43" i="2" l="1"/>
  <c r="AB43" i="2"/>
  <c r="AE43" i="2" s="1"/>
  <c r="X44" i="2" l="1"/>
  <c r="Y44" i="2" s="1"/>
  <c r="AA44" i="2" l="1"/>
  <c r="AB44" i="2"/>
  <c r="Z44" i="2"/>
  <c r="AC44" i="2"/>
  <c r="AD44" i="2"/>
  <c r="AE44" i="2" l="1"/>
  <c r="X45" i="2" l="1"/>
  <c r="Y45" i="2" s="1"/>
  <c r="AA45" i="2" l="1"/>
  <c r="AB45" i="2"/>
  <c r="Z45" i="2"/>
  <c r="AC45" i="2"/>
  <c r="AD45" i="2"/>
  <c r="AE45" i="2" l="1"/>
  <c r="X46" i="2" l="1"/>
  <c r="Z46" i="2" l="1"/>
  <c r="AC46" i="2"/>
  <c r="Y46" i="2"/>
  <c r="AD46" i="2"/>
  <c r="AA46" i="2" l="1"/>
  <c r="AB46" i="2"/>
  <c r="AE46" i="2" s="1"/>
  <c r="X47" i="2" l="1"/>
  <c r="Y47" i="2" s="1"/>
  <c r="AA47" i="2" l="1"/>
  <c r="AB47" i="2"/>
  <c r="Z47" i="2"/>
  <c r="AC47" i="2"/>
  <c r="AD47" i="2"/>
  <c r="AE47" i="2" l="1"/>
  <c r="X48" i="2" l="1"/>
  <c r="Z48" i="2" l="1"/>
  <c r="AC48" i="2"/>
  <c r="Y48" i="2"/>
  <c r="AD48" i="2"/>
  <c r="AA48" i="2" l="1"/>
  <c r="AB48" i="2"/>
  <c r="AE48" i="2" s="1"/>
  <c r="X49" i="2" l="1"/>
  <c r="Z49" i="2" l="1"/>
  <c r="AC49" i="2"/>
  <c r="Y49" i="2"/>
  <c r="AD49" i="2"/>
  <c r="AA49" i="2" l="1"/>
  <c r="AB49" i="2"/>
  <c r="AE49" i="2" s="1"/>
  <c r="X50" i="2" l="1"/>
  <c r="Y50" i="2" s="1"/>
  <c r="AA50" i="2" l="1"/>
  <c r="AB50" i="2"/>
  <c r="Z50" i="2"/>
  <c r="AC50" i="2"/>
  <c r="AD50" i="2"/>
  <c r="AE50" i="2" l="1"/>
  <c r="X51" i="2" l="1"/>
  <c r="Y51" i="2" s="1"/>
  <c r="AA51" i="2" l="1"/>
  <c r="AB51" i="2"/>
  <c r="Z51" i="2"/>
  <c r="AC51" i="2"/>
  <c r="AD51" i="2"/>
  <c r="AE51" i="2" l="1"/>
  <c r="X52" i="2" l="1"/>
  <c r="Y52" i="2" s="1"/>
  <c r="AA52" i="2" l="1"/>
  <c r="AB52" i="2"/>
  <c r="Z52" i="2"/>
  <c r="AC52" i="2"/>
  <c r="AD52" i="2"/>
  <c r="AE52" i="2" l="1"/>
  <c r="X53" i="2" l="1"/>
  <c r="Y53" i="2" s="1"/>
  <c r="AA53" i="2" l="1"/>
  <c r="AB53" i="2"/>
  <c r="Z53" i="2"/>
  <c r="AC53" i="2"/>
  <c r="AD53" i="2"/>
  <c r="AE53" i="2" l="1"/>
  <c r="X54" i="2" l="1"/>
  <c r="Z54" i="2" l="1"/>
  <c r="AC54" i="2"/>
  <c r="Y54" i="2"/>
  <c r="AD54" i="2"/>
  <c r="AA54" i="2" l="1"/>
  <c r="AB54" i="2"/>
  <c r="AE54" i="2" s="1"/>
  <c r="X55" i="2" l="1"/>
  <c r="Y55" i="2" s="1"/>
  <c r="AA55" i="2" l="1"/>
  <c r="AB55" i="2"/>
  <c r="Z55" i="2"/>
  <c r="AC55" i="2"/>
  <c r="AD55" i="2"/>
  <c r="AE55" i="2" l="1"/>
  <c r="X56" i="2" l="1"/>
  <c r="Y56" i="2" s="1"/>
  <c r="AA56" i="2" l="1"/>
  <c r="AB56" i="2"/>
  <c r="Z56" i="2"/>
  <c r="AC56" i="2"/>
  <c r="AD56" i="2"/>
  <c r="AE56" i="2" l="1"/>
  <c r="X57" i="2" l="1"/>
  <c r="Z57" i="2" l="1"/>
  <c r="AC57" i="2"/>
  <c r="Y57" i="2"/>
  <c r="AD57" i="2"/>
  <c r="AA57" i="2" l="1"/>
  <c r="AB57" i="2"/>
  <c r="AE57" i="2" s="1"/>
  <c r="X58" i="2" l="1"/>
  <c r="Y58" i="2" s="1"/>
  <c r="AA58" i="2" l="1"/>
  <c r="AB58" i="2"/>
  <c r="Z58" i="2"/>
  <c r="AC58" i="2"/>
  <c r="AD58" i="2"/>
  <c r="AE58" i="2" l="1"/>
  <c r="X59" i="2" l="1"/>
  <c r="Y59" i="2" s="1"/>
  <c r="AA59" i="2" l="1"/>
  <c r="AB59" i="2"/>
  <c r="Z59" i="2"/>
  <c r="AC59" i="2"/>
  <c r="AD59" i="2"/>
  <c r="AE59" i="2" l="1"/>
  <c r="X60" i="2" l="1"/>
  <c r="Z60" i="2" l="1"/>
  <c r="AC60" i="2"/>
  <c r="Y60" i="2"/>
  <c r="AD60" i="2"/>
  <c r="AA60" i="2" l="1"/>
  <c r="AB60" i="2"/>
  <c r="AE60" i="2" s="1"/>
  <c r="X61" i="2" l="1"/>
  <c r="Y61" i="2" s="1"/>
  <c r="AA61" i="2" l="1"/>
  <c r="AB61" i="2"/>
  <c r="Z61" i="2"/>
  <c r="AC61" i="2"/>
  <c r="AD61" i="2"/>
  <c r="AE61" i="2" l="1"/>
  <c r="X62" i="2" l="1"/>
  <c r="Z62" i="2" l="1"/>
  <c r="AC62" i="2"/>
  <c r="Y62" i="2"/>
  <c r="AD62" i="2"/>
  <c r="AA62" i="2" l="1"/>
  <c r="AB62" i="2"/>
  <c r="AE62" i="2" s="1"/>
  <c r="X63" i="2" l="1"/>
  <c r="Z63" i="2" l="1"/>
  <c r="AC63" i="2"/>
  <c r="Y63" i="2"/>
  <c r="AD63" i="2"/>
  <c r="AA63" i="2" l="1"/>
  <c r="AB63" i="2"/>
  <c r="AE63" i="2" s="1"/>
  <c r="X64" i="2" l="1"/>
  <c r="Y64" i="2" s="1"/>
  <c r="AA64" i="2" l="1"/>
  <c r="AB64" i="2"/>
  <c r="Z64" i="2"/>
  <c r="AC64" i="2"/>
  <c r="AD64" i="2"/>
  <c r="AE64" i="2" l="1"/>
  <c r="X65" i="2" l="1"/>
  <c r="Z65" i="2" l="1"/>
  <c r="AC65" i="2"/>
  <c r="Y65" i="2"/>
  <c r="AD65" i="2"/>
  <c r="AA65" i="2" l="1"/>
  <c r="AB65" i="2"/>
  <c r="AE65" i="2" s="1"/>
  <c r="X66" i="2" l="1"/>
  <c r="Y66" i="2" s="1"/>
  <c r="AA66" i="2" l="1"/>
  <c r="AB66" i="2"/>
  <c r="Z66" i="2"/>
  <c r="AC66" i="2"/>
  <c r="AD66" i="2"/>
  <c r="AE66" i="2" l="1"/>
  <c r="X67" i="2" l="1"/>
  <c r="Y67" i="2" s="1"/>
  <c r="AA67" i="2" l="1"/>
  <c r="AB67" i="2"/>
  <c r="Z67" i="2"/>
  <c r="AC67" i="2"/>
  <c r="AD67" i="2"/>
  <c r="AE67" i="2" l="1"/>
  <c r="X68" i="2" l="1"/>
  <c r="Z68" i="2" l="1"/>
  <c r="AC68" i="2"/>
  <c r="Y68" i="2"/>
  <c r="AD68" i="2"/>
  <c r="AA68" i="2" l="1"/>
  <c r="AB68" i="2"/>
  <c r="AE68" i="2" s="1"/>
  <c r="X69" i="2" l="1"/>
  <c r="Z69" i="2" l="1"/>
  <c r="AC69" i="2"/>
  <c r="Y69" i="2"/>
  <c r="AD69" i="2"/>
  <c r="AA69" i="2" l="1"/>
  <c r="AB69" i="2"/>
  <c r="AE69" i="2" s="1"/>
  <c r="X70" i="2" l="1"/>
  <c r="Y70" i="2" s="1"/>
  <c r="AA70" i="2" l="1"/>
  <c r="AB70" i="2"/>
  <c r="Z70" i="2"/>
  <c r="AC70" i="2"/>
  <c r="AD70" i="2"/>
  <c r="AE70" i="2" l="1"/>
  <c r="X71" i="2" l="1"/>
  <c r="Z71" i="2" l="1"/>
  <c r="AC71" i="2"/>
  <c r="Y71" i="2"/>
  <c r="AD71" i="2"/>
  <c r="AA71" i="2" l="1"/>
  <c r="AB71" i="2"/>
  <c r="AE71" i="2" s="1"/>
  <c r="X72" i="2" l="1"/>
  <c r="Z72" i="2" l="1"/>
  <c r="AC72" i="2"/>
  <c r="Y72" i="2"/>
  <c r="AD72" i="2"/>
  <c r="AA72" i="2" l="1"/>
  <c r="AB72" i="2"/>
  <c r="AE72" i="2" s="1"/>
  <c r="X73" i="2" l="1"/>
  <c r="Z73" i="2" l="1"/>
  <c r="AC73" i="2"/>
  <c r="Y73" i="2"/>
  <c r="AD73" i="2"/>
  <c r="AA73" i="2" l="1"/>
  <c r="AB73" i="2"/>
  <c r="AE73" i="2" s="1"/>
  <c r="X74" i="2" l="1"/>
  <c r="Z74" i="2" l="1"/>
  <c r="AC74" i="2"/>
  <c r="Y74" i="2"/>
  <c r="AD74" i="2"/>
  <c r="AA74" i="2" l="1"/>
  <c r="AB74" i="2"/>
  <c r="AE74" i="2" s="1"/>
  <c r="X75" i="2" l="1"/>
  <c r="Z75" i="2" l="1"/>
  <c r="AC75" i="2"/>
  <c r="Y75" i="2"/>
  <c r="AD75" i="2"/>
  <c r="AA75" i="2" l="1"/>
  <c r="AB75" i="2"/>
  <c r="AE75" i="2" s="1"/>
  <c r="X76" i="2" l="1"/>
  <c r="Y76" i="2" s="1"/>
  <c r="AA76" i="2" l="1"/>
  <c r="AB76" i="2"/>
  <c r="Z76" i="2"/>
  <c r="AC76" i="2"/>
  <c r="AD76" i="2"/>
  <c r="AE76" i="2" l="1"/>
  <c r="X77" i="2" l="1"/>
  <c r="Z77" i="2" l="1"/>
  <c r="AC77" i="2"/>
  <c r="Y77" i="2"/>
  <c r="AD77" i="2"/>
  <c r="AA77" i="2" l="1"/>
  <c r="AB77" i="2"/>
  <c r="AE77" i="2" s="1"/>
  <c r="X78" i="2" l="1"/>
  <c r="Z78" i="2" l="1"/>
  <c r="AC78" i="2"/>
  <c r="Y78" i="2"/>
  <c r="AD78" i="2"/>
  <c r="AA78" i="2" l="1"/>
  <c r="AB78" i="2"/>
  <c r="AE78" i="2" s="1"/>
  <c r="X79" i="2" l="1"/>
  <c r="Z79" i="2" l="1"/>
  <c r="AC79" i="2"/>
  <c r="Y79" i="2"/>
  <c r="AD79" i="2"/>
  <c r="AA79" i="2" l="1"/>
  <c r="AB79" i="2"/>
  <c r="AE79" i="2" s="1"/>
  <c r="X80" i="2" l="1"/>
  <c r="Y80" i="2" s="1"/>
  <c r="AA80" i="2" l="1"/>
  <c r="AB80" i="2"/>
  <c r="Z80" i="2"/>
  <c r="AC80" i="2"/>
  <c r="AD80" i="2"/>
  <c r="AE80" i="2" l="1"/>
  <c r="X81" i="2" l="1"/>
  <c r="Y81" i="2" s="1"/>
  <c r="AA81" i="2" l="1"/>
  <c r="AB81" i="2"/>
  <c r="Z81" i="2"/>
  <c r="AC81" i="2"/>
  <c r="AD81" i="2"/>
  <c r="AE81" i="2" l="1"/>
  <c r="X82" i="2" l="1"/>
  <c r="Y82" i="2" s="1"/>
  <c r="AA82" i="2" l="1"/>
  <c r="AB82" i="2"/>
  <c r="Z82" i="2"/>
  <c r="AC82" i="2"/>
  <c r="AD82" i="2"/>
  <c r="AE82" i="2" l="1"/>
  <c r="X83" i="2" l="1"/>
  <c r="Y83" i="2" s="1"/>
  <c r="AA83" i="2" l="1"/>
  <c r="AB83" i="2"/>
  <c r="Z83" i="2"/>
  <c r="AC83" i="2"/>
  <c r="AD83" i="2"/>
  <c r="AE83" i="2" l="1"/>
  <c r="X84" i="2" l="1"/>
  <c r="Y84" i="2" s="1"/>
  <c r="AA84" i="2" l="1"/>
  <c r="AB84" i="2"/>
  <c r="Z84" i="2"/>
  <c r="AC84" i="2"/>
  <c r="AD84" i="2"/>
  <c r="AE84" i="2" l="1"/>
  <c r="X85" i="2" l="1"/>
  <c r="Z85" i="2" l="1"/>
  <c r="AC85" i="2"/>
  <c r="Y85" i="2"/>
  <c r="AD85" i="2"/>
  <c r="AA85" i="2" l="1"/>
  <c r="AB85" i="2"/>
  <c r="AE85" i="2" s="1"/>
  <c r="X86" i="2" l="1"/>
  <c r="Y86" i="2" s="1"/>
  <c r="AA86" i="2" l="1"/>
  <c r="AB86" i="2"/>
  <c r="Z86" i="2"/>
  <c r="AC86" i="2"/>
  <c r="AD86" i="2"/>
  <c r="AE86" i="2" l="1"/>
  <c r="X87" i="2" l="1"/>
  <c r="Y87" i="2" s="1"/>
  <c r="AA87" i="2" l="1"/>
  <c r="AB87" i="2"/>
  <c r="Z87" i="2"/>
  <c r="AC87" i="2"/>
  <c r="AD87" i="2"/>
  <c r="AE87" i="2" l="1"/>
  <c r="X88" i="2" l="1"/>
  <c r="Z88" i="2" l="1"/>
  <c r="AC88" i="2"/>
  <c r="Y88" i="2"/>
  <c r="AD88" i="2"/>
  <c r="AA88" i="2" l="1"/>
  <c r="AB88" i="2"/>
  <c r="AE88" i="2" s="1"/>
  <c r="X89" i="2" l="1"/>
  <c r="Y89" i="2" s="1"/>
  <c r="AA89" i="2" l="1"/>
  <c r="AB89" i="2"/>
  <c r="Z89" i="2"/>
  <c r="AC89" i="2"/>
  <c r="AD89" i="2"/>
  <c r="AE89" i="2" l="1"/>
  <c r="X90" i="2" l="1"/>
  <c r="Z90" i="2" l="1"/>
  <c r="AC90" i="2"/>
  <c r="Y90" i="2"/>
  <c r="AD90" i="2"/>
  <c r="AA90" i="2" l="1"/>
  <c r="AB90" i="2"/>
  <c r="AE90" i="2" s="1"/>
  <c r="X91" i="2" l="1"/>
  <c r="Y91" i="2" s="1"/>
  <c r="AA91" i="2" l="1"/>
  <c r="AB91" i="2"/>
  <c r="Z91" i="2"/>
  <c r="AC91" i="2"/>
  <c r="AD91" i="2"/>
  <c r="AE91" i="2" l="1"/>
  <c r="X92" i="2" l="1"/>
  <c r="Y92" i="2" s="1"/>
  <c r="AA92" i="2" l="1"/>
  <c r="AB92" i="2"/>
  <c r="Z92" i="2"/>
  <c r="AC92" i="2"/>
  <c r="AD92" i="2"/>
  <c r="AE92" i="2" l="1"/>
  <c r="X93" i="2" l="1"/>
  <c r="Y93" i="2" s="1"/>
  <c r="AA93" i="2" l="1"/>
  <c r="AB93" i="2"/>
  <c r="Z93" i="2"/>
  <c r="AC93" i="2"/>
  <c r="AD93" i="2"/>
  <c r="AE93" i="2" l="1"/>
  <c r="X94" i="2" l="1"/>
  <c r="Z94" i="2" l="1"/>
  <c r="AC94" i="2"/>
  <c r="Y94" i="2"/>
  <c r="AD94" i="2"/>
  <c r="AA94" i="2" l="1"/>
  <c r="AB94" i="2"/>
  <c r="AE94" i="2" s="1"/>
  <c r="X95" i="2" l="1"/>
  <c r="Y95" i="2" s="1"/>
  <c r="AA95" i="2" l="1"/>
  <c r="AB95" i="2"/>
  <c r="Z95" i="2"/>
  <c r="AC95" i="2"/>
  <c r="AD95" i="2"/>
  <c r="AE95" i="2" l="1"/>
  <c r="X96" i="2" l="1"/>
  <c r="Y96" i="2" s="1"/>
  <c r="AA96" i="2" l="1"/>
  <c r="AB96" i="2"/>
  <c r="Z96" i="2"/>
  <c r="AC96" i="2"/>
  <c r="AD96" i="2"/>
  <c r="AE96" i="2" l="1"/>
  <c r="X97" i="2" l="1"/>
  <c r="Y97" i="2" s="1"/>
  <c r="AA97" i="2" l="1"/>
  <c r="AB97" i="2"/>
  <c r="Z97" i="2"/>
  <c r="AC97" i="2"/>
  <c r="AD97" i="2"/>
  <c r="AE97" i="2" l="1"/>
  <c r="X98" i="2" l="1"/>
  <c r="Y98" i="2" s="1"/>
  <c r="AA98" i="2" l="1"/>
  <c r="AB98" i="2"/>
  <c r="Z98" i="2"/>
  <c r="AC98" i="2"/>
  <c r="AD98" i="2"/>
  <c r="AE98" i="2" l="1"/>
  <c r="X99" i="2" l="1"/>
  <c r="Y99" i="2" s="1"/>
  <c r="AA99" i="2" l="1"/>
  <c r="AB99" i="2"/>
  <c r="Z99" i="2"/>
  <c r="AC99" i="2"/>
  <c r="AD99" i="2"/>
  <c r="AE99" i="2" l="1"/>
  <c r="X100" i="2" l="1"/>
  <c r="Z100" i="2" l="1"/>
  <c r="AC100" i="2"/>
  <c r="Y100" i="2"/>
  <c r="AD100" i="2"/>
  <c r="AA100" i="2" l="1"/>
  <c r="AB100" i="2"/>
  <c r="AE100" i="2" s="1"/>
  <c r="X101" i="2" l="1"/>
  <c r="Y101" i="2" s="1"/>
  <c r="AA101" i="2" l="1"/>
  <c r="AB101" i="2"/>
  <c r="Z101" i="2"/>
  <c r="AC101" i="2"/>
  <c r="AD101" i="2"/>
  <c r="AE101" i="2" l="1"/>
  <c r="X102" i="2" l="1"/>
  <c r="Y102" i="2" s="1"/>
  <c r="AA102" i="2" l="1"/>
  <c r="AB102" i="2"/>
  <c r="Z102" i="2"/>
  <c r="AC102" i="2"/>
  <c r="AD102" i="2"/>
  <c r="AE102" i="2" l="1"/>
  <c r="X103" i="2" l="1"/>
  <c r="Y103" i="2" s="1"/>
  <c r="AA103" i="2" l="1"/>
  <c r="AB103" i="2"/>
  <c r="Z103" i="2"/>
  <c r="AC103" i="2"/>
  <c r="AD103" i="2"/>
  <c r="AE103" i="2" l="1"/>
  <c r="X104" i="2" l="1"/>
  <c r="Y104" i="2" s="1"/>
  <c r="AA104" i="2" l="1"/>
  <c r="AB104" i="2"/>
  <c r="Z104" i="2"/>
  <c r="AC104" i="2"/>
  <c r="AD104" i="2"/>
  <c r="AE104" i="2" l="1"/>
  <c r="X105" i="2" l="1"/>
  <c r="Y105" i="2" s="1"/>
  <c r="AA105" i="2" l="1"/>
  <c r="AB105" i="2"/>
  <c r="Z105" i="2"/>
  <c r="AC105" i="2"/>
  <c r="AD105" i="2"/>
  <c r="AE105" i="2" l="1"/>
  <c r="X106" i="2" l="1"/>
  <c r="Z106" i="2" l="1"/>
  <c r="AC106" i="2"/>
  <c r="Y106" i="2"/>
  <c r="AD106" i="2"/>
  <c r="AA106" i="2" l="1"/>
  <c r="AB106" i="2"/>
  <c r="AE106" i="2" s="1"/>
  <c r="X107" i="2" l="1"/>
  <c r="Z107" i="2" l="1"/>
  <c r="AC107" i="2"/>
  <c r="Y107" i="2"/>
  <c r="AD107" i="2"/>
  <c r="AA107" i="2" l="1"/>
  <c r="AB107" i="2"/>
  <c r="AE107" i="2" s="1"/>
  <c r="X108" i="2" l="1"/>
  <c r="Z108" i="2" l="1"/>
  <c r="AC108" i="2"/>
  <c r="Y108" i="2"/>
  <c r="AD108" i="2"/>
  <c r="AA108" i="2" l="1"/>
  <c r="AB108" i="2"/>
  <c r="AE108" i="2" s="1"/>
  <c r="X109" i="2" l="1"/>
  <c r="Z109" i="2" l="1"/>
  <c r="AC109" i="2"/>
  <c r="Y109" i="2"/>
  <c r="AD109" i="2"/>
  <c r="AA109" i="2" l="1"/>
  <c r="AB109" i="2"/>
  <c r="AE109" i="2" s="1"/>
  <c r="X110" i="2" l="1"/>
  <c r="Z110" i="2" l="1"/>
  <c r="AC110" i="2"/>
  <c r="Y110" i="2"/>
  <c r="AD110" i="2"/>
  <c r="AA110" i="2" l="1"/>
  <c r="AB110" i="2"/>
  <c r="AE110" i="2" s="1"/>
  <c r="X111" i="2" l="1"/>
  <c r="Y111" i="2" s="1"/>
  <c r="AA111" i="2" l="1"/>
  <c r="AB111" i="2"/>
  <c r="Z111" i="2"/>
  <c r="AC111" i="2"/>
  <c r="AD111" i="2"/>
  <c r="AE111" i="2" l="1"/>
  <c r="X112" i="2" l="1"/>
  <c r="Y112" i="2" s="1"/>
  <c r="AA112" i="2" l="1"/>
  <c r="AB112" i="2"/>
  <c r="Z112" i="2"/>
  <c r="AC112" i="2"/>
  <c r="AD112" i="2"/>
  <c r="AE112" i="2" l="1"/>
  <c r="X113" i="2" l="1"/>
  <c r="Z113" i="2" l="1"/>
  <c r="AC113" i="2"/>
  <c r="Y113" i="2"/>
  <c r="AD113" i="2"/>
  <c r="AA113" i="2" l="1"/>
  <c r="AB113" i="2"/>
  <c r="AE113" i="2" s="1"/>
  <c r="X114" i="2" l="1"/>
  <c r="Z114" i="2" l="1"/>
  <c r="AC114" i="2"/>
  <c r="Y114" i="2"/>
  <c r="AD114" i="2"/>
  <c r="AA114" i="2" l="1"/>
  <c r="AB114" i="2"/>
  <c r="AE114" i="2" s="1"/>
  <c r="X115" i="2" l="1"/>
  <c r="Z115" i="2" l="1"/>
  <c r="AC115" i="2"/>
  <c r="Y115" i="2"/>
  <c r="AD115" i="2"/>
  <c r="AA115" i="2" l="1"/>
  <c r="AB115" i="2"/>
  <c r="AE115" i="2" s="1"/>
  <c r="X116" i="2" l="1"/>
  <c r="Y116" i="2" s="1"/>
  <c r="AA116" i="2" l="1"/>
  <c r="AB116" i="2"/>
  <c r="Z116" i="2"/>
  <c r="AC116" i="2"/>
  <c r="AD116" i="2"/>
  <c r="AE116" i="2" l="1"/>
  <c r="X117" i="2" l="1"/>
  <c r="Z117" i="2" l="1"/>
  <c r="AC117" i="2"/>
  <c r="Y117" i="2"/>
  <c r="AD117" i="2"/>
  <c r="AA117" i="2" l="1"/>
  <c r="AB117" i="2"/>
  <c r="AE117" i="2" s="1"/>
  <c r="X118" i="2" l="1"/>
  <c r="Y118" i="2" s="1"/>
  <c r="AA118" i="2" l="1"/>
  <c r="AB118" i="2"/>
  <c r="Z118" i="2"/>
  <c r="AC118" i="2"/>
  <c r="AD118" i="2"/>
  <c r="AE118" i="2" l="1"/>
  <c r="X119" i="2" l="1"/>
  <c r="Y119" i="2" s="1"/>
  <c r="AA119" i="2" l="1"/>
  <c r="AB119" i="2"/>
  <c r="Z119" i="2"/>
  <c r="AC119" i="2"/>
  <c r="AD119" i="2"/>
  <c r="AE119" i="2" l="1"/>
  <c r="X120" i="2" l="1"/>
  <c r="Y120" i="2" s="1"/>
  <c r="AA120" i="2" l="1"/>
  <c r="AB120" i="2"/>
  <c r="Z120" i="2"/>
  <c r="AC120" i="2"/>
  <c r="AD120" i="2"/>
  <c r="AE120" i="2" l="1"/>
  <c r="X121" i="2" l="1"/>
  <c r="Z121" i="2" l="1"/>
  <c r="AC121" i="2"/>
  <c r="Y121" i="2"/>
  <c r="AD121" i="2"/>
  <c r="AA121" i="2" l="1"/>
  <c r="AB121" i="2"/>
  <c r="AE121" i="2" s="1"/>
  <c r="X122" i="2" l="1"/>
  <c r="Y122" i="2" s="1"/>
  <c r="AA122" i="2" l="1"/>
  <c r="AB122" i="2"/>
  <c r="Z122" i="2"/>
  <c r="AC122" i="2"/>
  <c r="AD122" i="2"/>
  <c r="AE122" i="2" l="1"/>
  <c r="X123" i="2" l="1"/>
  <c r="Z123" i="2" l="1"/>
  <c r="AC123" i="2"/>
  <c r="Y123" i="2"/>
  <c r="AD123" i="2"/>
  <c r="AA123" i="2" l="1"/>
  <c r="AB123" i="2"/>
  <c r="AE123" i="2" s="1"/>
  <c r="X124" i="2" l="1"/>
  <c r="Y124" i="2" s="1"/>
  <c r="AA124" i="2" l="1"/>
  <c r="AB124" i="2"/>
  <c r="Z124" i="2"/>
  <c r="AC124" i="2"/>
  <c r="AD124" i="2"/>
  <c r="AE124" i="2" l="1"/>
  <c r="X125" i="2" l="1"/>
  <c r="Z125" i="2" l="1"/>
  <c r="AC125" i="2"/>
  <c r="Y125" i="2"/>
  <c r="AD125" i="2"/>
  <c r="AA125" i="2" l="1"/>
  <c r="AB125" i="2"/>
  <c r="AE125" i="2" s="1"/>
  <c r="X126" i="2" l="1"/>
  <c r="Y126" i="2" s="1"/>
  <c r="AA126" i="2" l="1"/>
  <c r="AB126" i="2"/>
  <c r="Z126" i="2"/>
  <c r="AC126" i="2"/>
  <c r="AD126" i="2"/>
  <c r="AE126" i="2" l="1"/>
  <c r="X127" i="2" l="1"/>
  <c r="Y127" i="2" s="1"/>
  <c r="AA127" i="2" l="1"/>
  <c r="AB127" i="2"/>
  <c r="Z127" i="2"/>
  <c r="AC127" i="2"/>
  <c r="AD127" i="2"/>
  <c r="AE127" i="2" l="1"/>
  <c r="X128" i="2" l="1"/>
  <c r="Y128" i="2" s="1"/>
  <c r="AA128" i="2" l="1"/>
  <c r="AB128" i="2"/>
  <c r="Z128" i="2"/>
  <c r="AC128" i="2"/>
  <c r="AD128" i="2"/>
  <c r="AE128" i="2" l="1"/>
  <c r="X129" i="2" l="1"/>
  <c r="Z129" i="2" l="1"/>
  <c r="AC129" i="2"/>
  <c r="Y129" i="2"/>
  <c r="AD129" i="2"/>
  <c r="AA129" i="2" l="1"/>
  <c r="AB129" i="2"/>
  <c r="AE129" i="2" s="1"/>
  <c r="X130" i="2" l="1"/>
  <c r="Y130" i="2" s="1"/>
  <c r="AA130" i="2" l="1"/>
  <c r="AB130" i="2"/>
  <c r="Z130" i="2"/>
  <c r="AC130" i="2"/>
  <c r="AD130" i="2"/>
  <c r="AE130" i="2" l="1"/>
  <c r="X131" i="2" l="1"/>
  <c r="Z131" i="2" l="1"/>
  <c r="AC131" i="2"/>
  <c r="Y131" i="2"/>
  <c r="AD131" i="2"/>
  <c r="AA131" i="2" l="1"/>
  <c r="AB131" i="2"/>
  <c r="AE131" i="2" s="1"/>
  <c r="X132" i="2" l="1"/>
  <c r="Z132" i="2" l="1"/>
  <c r="AC132" i="2"/>
  <c r="Y132" i="2"/>
  <c r="AD132" i="2"/>
  <c r="AA132" i="2" l="1"/>
  <c r="AB132" i="2"/>
  <c r="AE132" i="2" s="1"/>
  <c r="X133" i="2" l="1"/>
  <c r="Z133" i="2" l="1"/>
  <c r="AC133" i="2"/>
  <c r="Y133" i="2"/>
  <c r="AD133" i="2"/>
  <c r="AA133" i="2" l="1"/>
  <c r="AB133" i="2"/>
  <c r="AE133" i="2" s="1"/>
  <c r="X134" i="2" l="1"/>
  <c r="Y134" i="2" s="1"/>
  <c r="AA134" i="2" l="1"/>
  <c r="AB134" i="2"/>
  <c r="Z134" i="2"/>
  <c r="AC134" i="2"/>
  <c r="AD134" i="2"/>
  <c r="AE134" i="2" l="1"/>
  <c r="X135" i="2" l="1"/>
  <c r="Y135" i="2" s="1"/>
  <c r="AA135" i="2" l="1"/>
  <c r="AB135" i="2"/>
  <c r="Z135" i="2"/>
  <c r="AC135" i="2"/>
  <c r="AD135" i="2"/>
  <c r="AE135" i="2" l="1"/>
  <c r="X136" i="2" l="1"/>
  <c r="Z136" i="2" l="1"/>
  <c r="AC136" i="2"/>
  <c r="Y136" i="2"/>
  <c r="AD136" i="2"/>
  <c r="AA136" i="2" l="1"/>
  <c r="AB136" i="2"/>
  <c r="AE136" i="2" s="1"/>
  <c r="X137" i="2" l="1"/>
  <c r="Z137" i="2" l="1"/>
  <c r="AC137" i="2"/>
  <c r="Y137" i="2"/>
  <c r="AD137" i="2"/>
  <c r="AA137" i="2" l="1"/>
  <c r="AB137" i="2"/>
  <c r="AE137" i="2" s="1"/>
  <c r="X138" i="2" l="1"/>
  <c r="Z138" i="2" l="1"/>
  <c r="AC138" i="2"/>
  <c r="Y138" i="2"/>
  <c r="AD138" i="2"/>
  <c r="AA138" i="2" l="1"/>
  <c r="AB138" i="2"/>
  <c r="AE138" i="2" s="1"/>
  <c r="X139" i="2" l="1"/>
  <c r="Y139" i="2" s="1"/>
  <c r="AA139" i="2" l="1"/>
  <c r="AB139" i="2"/>
  <c r="Z139" i="2"/>
  <c r="AC139" i="2"/>
  <c r="AD139" i="2"/>
  <c r="AE139" i="2" l="1"/>
  <c r="X140" i="2" l="1"/>
  <c r="Z140" i="2" l="1"/>
  <c r="AC140" i="2"/>
  <c r="Y140" i="2"/>
  <c r="AD140" i="2"/>
  <c r="AA140" i="2" l="1"/>
  <c r="AB140" i="2"/>
  <c r="AE140" i="2" s="1"/>
  <c r="X141" i="2" l="1"/>
  <c r="Y141" i="2" s="1"/>
  <c r="AA141" i="2" l="1"/>
  <c r="AB141" i="2"/>
  <c r="Z141" i="2"/>
  <c r="AC141" i="2"/>
  <c r="AD141" i="2"/>
  <c r="AE141" i="2" l="1"/>
  <c r="X142" i="2" l="1"/>
  <c r="Z142" i="2" l="1"/>
  <c r="AC142" i="2"/>
  <c r="Y142" i="2"/>
  <c r="AD142" i="2"/>
  <c r="AA142" i="2" l="1"/>
  <c r="AB142" i="2"/>
  <c r="AE142" i="2" s="1"/>
  <c r="X143" i="2" l="1"/>
  <c r="Z143" i="2" l="1"/>
  <c r="AC143" i="2"/>
  <c r="Y143" i="2"/>
  <c r="AD143" i="2"/>
  <c r="AA143" i="2" l="1"/>
  <c r="AB143" i="2"/>
  <c r="AE143" i="2" s="1"/>
  <c r="X144" i="2" l="1"/>
  <c r="Z144" i="2" l="1"/>
  <c r="AC144" i="2"/>
  <c r="Y144" i="2"/>
  <c r="AD144" i="2"/>
  <c r="AA144" i="2" l="1"/>
  <c r="AB144" i="2"/>
  <c r="AE144" i="2" s="1"/>
  <c r="X145" i="2" l="1"/>
  <c r="Z145" i="2" l="1"/>
  <c r="AC145" i="2"/>
  <c r="Y145" i="2"/>
  <c r="AD145" i="2"/>
  <c r="AA145" i="2" l="1"/>
  <c r="AB145" i="2"/>
  <c r="AE145" i="2" s="1"/>
  <c r="X146" i="2" l="1"/>
  <c r="Z146" i="2" l="1"/>
  <c r="AC146" i="2"/>
  <c r="Y146" i="2"/>
  <c r="AD146" i="2"/>
  <c r="AA146" i="2" l="1"/>
  <c r="AB146" i="2"/>
  <c r="AE146" i="2" s="1"/>
  <c r="X147" i="2" l="1"/>
  <c r="Y147" i="2" s="1"/>
  <c r="AA147" i="2" l="1"/>
  <c r="AB147" i="2"/>
  <c r="Z147" i="2"/>
  <c r="AC147" i="2"/>
  <c r="AD147" i="2"/>
  <c r="AE147" i="2" l="1"/>
  <c r="X148" i="2" l="1"/>
  <c r="Z148" i="2" l="1"/>
  <c r="AC148" i="2"/>
  <c r="Y148" i="2"/>
  <c r="AD148" i="2"/>
  <c r="AA148" i="2" l="1"/>
  <c r="AB148" i="2"/>
  <c r="AE148" i="2" s="1"/>
  <c r="X149" i="2" l="1"/>
  <c r="Y149" i="2" s="1"/>
  <c r="AA149" i="2" l="1"/>
  <c r="AB149" i="2"/>
  <c r="Z149" i="2"/>
  <c r="AC149" i="2"/>
  <c r="AD149" i="2"/>
  <c r="AE149" i="2" l="1"/>
  <c r="X150" i="2" l="1"/>
  <c r="Y150" i="2" s="1"/>
  <c r="AA150" i="2" l="1"/>
  <c r="AB150" i="2"/>
  <c r="Z150" i="2"/>
  <c r="AC150" i="2"/>
  <c r="AD150" i="2"/>
  <c r="AE150" i="2" l="1"/>
  <c r="X151" i="2" l="1"/>
  <c r="Z151" i="2" l="1"/>
  <c r="AC151" i="2"/>
  <c r="Y151" i="2"/>
  <c r="AD151" i="2"/>
  <c r="AA151" i="2" l="1"/>
  <c r="AB151" i="2"/>
  <c r="AE151" i="2" s="1"/>
  <c r="X152" i="2" l="1"/>
  <c r="Z152" i="2" l="1"/>
  <c r="AC152" i="2"/>
  <c r="Y152" i="2"/>
  <c r="AD152" i="2"/>
  <c r="AA152" i="2" l="1"/>
  <c r="AB152" i="2"/>
  <c r="AE152" i="2" s="1"/>
  <c r="X153" i="2" l="1"/>
  <c r="Z153" i="2" l="1"/>
  <c r="AC153" i="2"/>
  <c r="Y153" i="2"/>
  <c r="AD153" i="2"/>
  <c r="AA153" i="2" l="1"/>
  <c r="AB153" i="2"/>
  <c r="AE153" i="2" s="1"/>
  <c r="X154" i="2" l="1"/>
  <c r="Y154" i="2" s="1"/>
  <c r="AA154" i="2" l="1"/>
  <c r="AB154" i="2"/>
  <c r="Z154" i="2"/>
  <c r="AC154" i="2"/>
  <c r="AD154" i="2"/>
  <c r="AE154" i="2" l="1"/>
  <c r="X155" i="2" l="1"/>
  <c r="Y155" i="2" s="1"/>
  <c r="AA155" i="2" l="1"/>
  <c r="AB155" i="2"/>
  <c r="Z155" i="2"/>
  <c r="AC155" i="2"/>
  <c r="AD155" i="2"/>
  <c r="AE155" i="2" l="1"/>
  <c r="X156" i="2" l="1"/>
  <c r="Y156" i="2" s="1"/>
  <c r="AA156" i="2" l="1"/>
  <c r="AB156" i="2"/>
  <c r="Z156" i="2"/>
  <c r="AC156" i="2"/>
  <c r="AD156" i="2"/>
  <c r="AE156" i="2" l="1"/>
  <c r="X157" i="2" l="1"/>
  <c r="Z157" i="2" l="1"/>
  <c r="AC157" i="2"/>
  <c r="Y157" i="2"/>
  <c r="AD157" i="2"/>
  <c r="AA157" i="2" l="1"/>
  <c r="AB157" i="2"/>
  <c r="AE157" i="2" s="1"/>
  <c r="X158" i="2" l="1"/>
  <c r="Z158" i="2" l="1"/>
  <c r="AC158" i="2"/>
  <c r="Y158" i="2"/>
  <c r="AD158" i="2"/>
  <c r="AA158" i="2" l="1"/>
  <c r="AB158" i="2"/>
  <c r="AE158" i="2" s="1"/>
  <c r="X159" i="2" l="1"/>
  <c r="Y159" i="2" s="1"/>
  <c r="AA159" i="2" l="1"/>
  <c r="AB159" i="2"/>
  <c r="Z159" i="2"/>
  <c r="AC159" i="2"/>
  <c r="AD159" i="2"/>
  <c r="AE159" i="2" l="1"/>
  <c r="X160" i="2" l="1"/>
  <c r="Z160" i="2" l="1"/>
  <c r="AC160" i="2"/>
  <c r="Y160" i="2"/>
  <c r="AD160" i="2"/>
  <c r="AA160" i="2" l="1"/>
  <c r="AB160" i="2"/>
  <c r="AE160" i="2" s="1"/>
  <c r="X161" i="2" l="1"/>
  <c r="Y161" i="2" s="1"/>
  <c r="AA161" i="2" l="1"/>
  <c r="AB161" i="2"/>
  <c r="Z161" i="2"/>
  <c r="AC161" i="2"/>
  <c r="AD161" i="2"/>
  <c r="AE161" i="2" l="1"/>
  <c r="X162" i="2" l="1"/>
  <c r="Y162" i="2" s="1"/>
  <c r="AA162" i="2" l="1"/>
  <c r="AB162" i="2"/>
  <c r="Z162" i="2"/>
  <c r="AC162" i="2"/>
  <c r="AD162" i="2"/>
  <c r="AE162" i="2" l="1"/>
  <c r="X163" i="2" l="1"/>
  <c r="Z163" i="2" l="1"/>
  <c r="AC163" i="2"/>
  <c r="Y163" i="2"/>
  <c r="AD163" i="2"/>
  <c r="AA163" i="2" l="1"/>
  <c r="AB163" i="2"/>
  <c r="AE163" i="2" s="1"/>
  <c r="X164" i="2" l="1"/>
  <c r="Z164" i="2" l="1"/>
  <c r="AC164" i="2"/>
  <c r="Y164" i="2"/>
  <c r="AD164" i="2"/>
  <c r="AA164" i="2" l="1"/>
  <c r="AB164" i="2"/>
  <c r="AE164" i="2" s="1"/>
  <c r="X165" i="2" l="1"/>
  <c r="Z165" i="2" l="1"/>
  <c r="AC165" i="2"/>
  <c r="Y165" i="2"/>
  <c r="AD165" i="2"/>
  <c r="AA165" i="2" l="1"/>
  <c r="AB165" i="2"/>
  <c r="AE165" i="2" s="1"/>
  <c r="X166" i="2" l="1"/>
  <c r="Z166" i="2" l="1"/>
  <c r="AC166" i="2"/>
  <c r="Y166" i="2"/>
  <c r="AD166" i="2"/>
  <c r="AA166" i="2" l="1"/>
  <c r="AB166" i="2"/>
  <c r="AE166" i="2" s="1"/>
  <c r="X167" i="2" l="1"/>
  <c r="Z167" i="2" l="1"/>
  <c r="AC167" i="2"/>
  <c r="Y167" i="2"/>
  <c r="AD167" i="2"/>
  <c r="AA167" i="2" l="1"/>
  <c r="AB167" i="2"/>
  <c r="AE167" i="2" s="1"/>
  <c r="X168" i="2" l="1"/>
  <c r="Y168" i="2" s="1"/>
  <c r="AA168" i="2" l="1"/>
  <c r="AB168" i="2"/>
  <c r="Z168" i="2"/>
  <c r="AC168" i="2"/>
  <c r="AD168" i="2"/>
  <c r="AE168" i="2" l="1"/>
  <c r="X169" i="2" l="1"/>
  <c r="Y169" i="2" s="1"/>
  <c r="AA169" i="2" l="1"/>
  <c r="AB169" i="2"/>
  <c r="Z169" i="2"/>
  <c r="AC169" i="2"/>
  <c r="AD169" i="2"/>
  <c r="AE169" i="2" l="1"/>
  <c r="X170" i="2" l="1"/>
  <c r="Y170" i="2" s="1"/>
  <c r="AA170" i="2" l="1"/>
  <c r="AB170" i="2"/>
  <c r="Z170" i="2"/>
  <c r="AC170" i="2"/>
  <c r="AD170" i="2"/>
  <c r="AE170" i="2" l="1"/>
  <c r="X171" i="2" l="1"/>
  <c r="Z171" i="2" l="1"/>
  <c r="AC171" i="2"/>
  <c r="Y171" i="2"/>
  <c r="AD171" i="2"/>
  <c r="AA171" i="2" l="1"/>
  <c r="AB171" i="2"/>
  <c r="AE171" i="2" s="1"/>
  <c r="X172" i="2" l="1"/>
  <c r="Y172" i="2" s="1"/>
  <c r="AA172" i="2" l="1"/>
  <c r="AB172" i="2"/>
  <c r="Z172" i="2"/>
  <c r="AC172" i="2"/>
  <c r="AD172" i="2"/>
  <c r="AE172" i="2" l="1"/>
  <c r="X173" i="2" l="1"/>
  <c r="Y173" i="2" s="1"/>
  <c r="AA173" i="2" l="1"/>
  <c r="AB173" i="2"/>
  <c r="Z173" i="2"/>
  <c r="AC173" i="2"/>
  <c r="AD173" i="2"/>
  <c r="AE173" i="2" l="1"/>
  <c r="X174" i="2" l="1"/>
  <c r="Z174" i="2" l="1"/>
  <c r="AC174" i="2"/>
  <c r="Y174" i="2"/>
  <c r="AD174" i="2"/>
  <c r="AA174" i="2" l="1"/>
  <c r="AB174" i="2"/>
  <c r="AE174" i="2" s="1"/>
  <c r="X175" i="2" l="1"/>
  <c r="Z175" i="2" l="1"/>
  <c r="AC175" i="2"/>
  <c r="Y175" i="2"/>
  <c r="AD175" i="2"/>
  <c r="AA175" i="2" l="1"/>
  <c r="AB175" i="2"/>
  <c r="AE175" i="2" s="1"/>
  <c r="X176" i="2" l="1"/>
  <c r="Z176" i="2" l="1"/>
  <c r="AC176" i="2"/>
  <c r="Y176" i="2"/>
  <c r="AD176" i="2"/>
  <c r="AA176" i="2" l="1"/>
  <c r="AB176" i="2"/>
  <c r="AE176" i="2" s="1"/>
  <c r="X177" i="2" l="1"/>
  <c r="Z177" i="2" l="1"/>
  <c r="AC177" i="2"/>
  <c r="Y177" i="2"/>
  <c r="AD177" i="2"/>
  <c r="AA177" i="2" l="1"/>
  <c r="AB177" i="2"/>
  <c r="AE177" i="2" s="1"/>
  <c r="X178" i="2" l="1"/>
  <c r="Z178" i="2" l="1"/>
  <c r="AC178" i="2"/>
  <c r="Y178" i="2"/>
  <c r="AD178" i="2"/>
  <c r="AA178" i="2" l="1"/>
  <c r="AB178" i="2"/>
  <c r="AE178" i="2" s="1"/>
  <c r="X179" i="2" l="1"/>
  <c r="Y179" i="2" s="1"/>
  <c r="AA179" i="2" l="1"/>
  <c r="AB179" i="2"/>
  <c r="Z179" i="2"/>
  <c r="AC179" i="2"/>
  <c r="AD179" i="2"/>
  <c r="AE179" i="2" l="1"/>
  <c r="X180" i="2" l="1"/>
  <c r="Y180" i="2" s="1"/>
  <c r="AA180" i="2" l="1"/>
  <c r="AB180" i="2"/>
  <c r="Z180" i="2"/>
  <c r="AC180" i="2"/>
  <c r="AD180" i="2"/>
  <c r="AE180" i="2" l="1"/>
  <c r="X181" i="2" l="1"/>
  <c r="Z181" i="2" l="1"/>
  <c r="AC181" i="2"/>
  <c r="Y181" i="2"/>
  <c r="AD181" i="2"/>
  <c r="AA181" i="2" l="1"/>
  <c r="AB181" i="2"/>
  <c r="AE181" i="2" s="1"/>
  <c r="X182" i="2" l="1"/>
  <c r="Y182" i="2" s="1"/>
  <c r="AA182" i="2" l="1"/>
  <c r="AB182" i="2"/>
  <c r="Z182" i="2"/>
  <c r="AC182" i="2"/>
  <c r="AD182" i="2"/>
  <c r="AE182" i="2" l="1"/>
  <c r="X183" i="2" l="1"/>
  <c r="Y183" i="2" s="1"/>
  <c r="AA183" i="2" l="1"/>
  <c r="AB183" i="2"/>
  <c r="Z183" i="2"/>
  <c r="AC183" i="2"/>
  <c r="AD183" i="2"/>
  <c r="AE183" i="2" l="1"/>
  <c r="X184" i="2" l="1"/>
  <c r="Y184" i="2" s="1"/>
  <c r="AA184" i="2" l="1"/>
  <c r="AB184" i="2"/>
  <c r="Z184" i="2"/>
  <c r="AC184" i="2"/>
  <c r="AD184" i="2"/>
  <c r="AE184" i="2" l="1"/>
  <c r="X185" i="2" l="1"/>
  <c r="Y185" i="2" s="1"/>
  <c r="AA185" i="2" l="1"/>
  <c r="AB185" i="2"/>
  <c r="Z185" i="2"/>
  <c r="AC185" i="2"/>
  <c r="AD185" i="2"/>
  <c r="AE185" i="2" l="1"/>
  <c r="X186" i="2" l="1"/>
  <c r="Y186" i="2" s="1"/>
  <c r="AA186" i="2" l="1"/>
  <c r="AB186" i="2"/>
  <c r="Z186" i="2"/>
  <c r="AC186" i="2"/>
  <c r="AD186" i="2"/>
  <c r="AE186" i="2" l="1"/>
  <c r="X187" i="2" l="1"/>
  <c r="Z187" i="2" l="1"/>
  <c r="AC187" i="2"/>
  <c r="Y187" i="2"/>
  <c r="AD187" i="2"/>
  <c r="AA187" i="2" l="1"/>
  <c r="AB187" i="2"/>
  <c r="AE187" i="2" s="1"/>
  <c r="X188" i="2" l="1"/>
  <c r="Z188" i="2" l="1"/>
  <c r="AC188" i="2"/>
  <c r="Y188" i="2"/>
  <c r="AD188" i="2"/>
  <c r="AA188" i="2" l="1"/>
  <c r="AB188" i="2"/>
  <c r="AE188" i="2" s="1"/>
  <c r="X189" i="2" l="1"/>
  <c r="Z189" i="2" l="1"/>
  <c r="AC189" i="2"/>
  <c r="Y189" i="2"/>
  <c r="AD189" i="2"/>
  <c r="AA189" i="2" l="1"/>
  <c r="AB189" i="2"/>
  <c r="AE189" i="2" s="1"/>
  <c r="X190" i="2" l="1"/>
  <c r="Y190" i="2" s="1"/>
  <c r="AA190" i="2" l="1"/>
  <c r="AB190" i="2"/>
  <c r="Z190" i="2"/>
  <c r="AC190" i="2"/>
  <c r="AD190" i="2"/>
  <c r="AE190" i="2" l="1"/>
  <c r="X191" i="2" l="1"/>
  <c r="Y191" i="2" s="1"/>
  <c r="AA191" i="2" l="1"/>
  <c r="AB191" i="2"/>
  <c r="Z191" i="2"/>
  <c r="AC191" i="2"/>
  <c r="AD191" i="2"/>
  <c r="AE191" i="2" l="1"/>
  <c r="X192" i="2" l="1"/>
  <c r="Z192" i="2" l="1"/>
  <c r="AC192" i="2"/>
  <c r="Y192" i="2"/>
  <c r="AD192" i="2"/>
  <c r="AA192" i="2" l="1"/>
  <c r="AB192" i="2"/>
  <c r="AE192" i="2" s="1"/>
  <c r="X193" i="2" l="1"/>
  <c r="Y193" i="2" s="1"/>
  <c r="AA193" i="2" l="1"/>
  <c r="AB193" i="2"/>
  <c r="Z193" i="2"/>
  <c r="AC193" i="2"/>
  <c r="AD193" i="2"/>
  <c r="AE193" i="2" l="1"/>
  <c r="X194" i="2" l="1"/>
  <c r="Y194" i="2" s="1"/>
  <c r="AA194" i="2" l="1"/>
  <c r="AB194" i="2"/>
  <c r="Z194" i="2"/>
  <c r="AC194" i="2"/>
  <c r="AD194" i="2"/>
  <c r="AE194" i="2" l="1"/>
  <c r="X195" i="2" l="1"/>
  <c r="Y195" i="2" s="1"/>
  <c r="AA195" i="2" l="1"/>
  <c r="AB195" i="2"/>
  <c r="Z195" i="2"/>
  <c r="AC195" i="2"/>
  <c r="AD195" i="2"/>
  <c r="AE195" i="2" l="1"/>
  <c r="X196" i="2" l="1"/>
  <c r="Z196" i="2" l="1"/>
  <c r="AC196" i="2"/>
  <c r="Y196" i="2"/>
  <c r="AD196" i="2"/>
  <c r="AA196" i="2" l="1"/>
  <c r="AB196" i="2"/>
  <c r="AE196" i="2" s="1"/>
  <c r="X197" i="2" l="1"/>
  <c r="Y197" i="2" s="1"/>
  <c r="AA197" i="2" l="1"/>
  <c r="AB197" i="2"/>
  <c r="Z197" i="2"/>
  <c r="AC197" i="2"/>
  <c r="AD197" i="2"/>
  <c r="AE197" i="2" l="1"/>
  <c r="X198" i="2" l="1"/>
  <c r="Y198" i="2" s="1"/>
  <c r="AA198" i="2" l="1"/>
  <c r="AB198" i="2"/>
  <c r="Z198" i="2"/>
  <c r="AC198" i="2"/>
  <c r="AD198" i="2"/>
  <c r="AE198" i="2" l="1"/>
  <c r="X199" i="2" l="1"/>
  <c r="Z199" i="2" l="1"/>
  <c r="AC199" i="2"/>
  <c r="Y199" i="2"/>
  <c r="AD199" i="2"/>
  <c r="AA199" i="2" l="1"/>
  <c r="AB199" i="2"/>
  <c r="AE199" i="2" s="1"/>
  <c r="X200" i="2" l="1"/>
  <c r="Z200" i="2" l="1"/>
  <c r="AC200" i="2"/>
  <c r="Y200" i="2"/>
  <c r="AD200" i="2"/>
  <c r="AA200" i="2" l="1"/>
  <c r="AB200" i="2"/>
  <c r="AE200" i="2" s="1"/>
  <c r="X201" i="2" l="1"/>
  <c r="Y201" i="2" s="1"/>
  <c r="AA201" i="2" l="1"/>
  <c r="AB201" i="2"/>
  <c r="Z201" i="2"/>
  <c r="AC201" i="2"/>
  <c r="AD201" i="2"/>
  <c r="AE201" i="2" l="1"/>
  <c r="X202" i="2" l="1"/>
  <c r="Y202" i="2" s="1"/>
  <c r="AA202" i="2" l="1"/>
  <c r="AB202" i="2"/>
  <c r="Z202" i="2"/>
  <c r="AC202" i="2"/>
  <c r="AD202" i="2"/>
  <c r="AE202" i="2" l="1"/>
  <c r="X203" i="2" l="1"/>
  <c r="Y203" i="2" s="1"/>
  <c r="AA203" i="2" l="1"/>
  <c r="AB203" i="2"/>
  <c r="Z203" i="2"/>
  <c r="AC203" i="2"/>
  <c r="AD203" i="2"/>
  <c r="AE203" i="2" l="1"/>
  <c r="X204" i="2" l="1"/>
  <c r="Y204" i="2" s="1"/>
  <c r="AA204" i="2" l="1"/>
  <c r="AB204" i="2"/>
  <c r="Z204" i="2"/>
  <c r="AC204" i="2"/>
  <c r="AD204" i="2"/>
  <c r="AE204" i="2" l="1"/>
  <c r="X205" i="2" l="1"/>
  <c r="Y205" i="2" s="1"/>
  <c r="AA205" i="2" l="1"/>
  <c r="AB205" i="2"/>
  <c r="Z205" i="2"/>
  <c r="AC205" i="2"/>
  <c r="AD205" i="2"/>
  <c r="AE205" i="2" l="1"/>
  <c r="X206" i="2" l="1"/>
  <c r="Y206" i="2" s="1"/>
  <c r="AA206" i="2" l="1"/>
  <c r="AB206" i="2"/>
  <c r="Z206" i="2"/>
  <c r="AC206" i="2"/>
  <c r="AD206" i="2"/>
  <c r="AE206" i="2" l="1"/>
  <c r="X207" i="2" l="1"/>
  <c r="Y207" i="2" s="1"/>
  <c r="AA207" i="2" l="1"/>
  <c r="AB207" i="2"/>
  <c r="Z207" i="2"/>
  <c r="AC207" i="2"/>
  <c r="AD207" i="2"/>
  <c r="AE207" i="2" l="1"/>
  <c r="X208" i="2" l="1"/>
  <c r="Y208" i="2" s="1"/>
  <c r="AA208" i="2" l="1"/>
  <c r="AB208" i="2"/>
  <c r="Z208" i="2"/>
  <c r="AC208" i="2"/>
  <c r="AD208" i="2"/>
  <c r="AE208" i="2" l="1"/>
  <c r="X209" i="2" l="1"/>
  <c r="Z209" i="2" l="1"/>
  <c r="AC209" i="2"/>
  <c r="Y209" i="2"/>
  <c r="AD209" i="2"/>
  <c r="AA209" i="2" l="1"/>
  <c r="AB209" i="2"/>
  <c r="AE209" i="2" s="1"/>
  <c r="X210" i="2" l="1"/>
  <c r="Y210" i="2" s="1"/>
  <c r="AA210" i="2" l="1"/>
  <c r="AB210" i="2"/>
  <c r="Z210" i="2"/>
  <c r="AC210" i="2"/>
  <c r="AD210" i="2"/>
  <c r="AE210" i="2" l="1"/>
  <c r="X211" i="2" l="1"/>
  <c r="Y211" i="2" s="1"/>
  <c r="AA211" i="2" l="1"/>
  <c r="AB211" i="2"/>
  <c r="Z211" i="2"/>
  <c r="AC211" i="2"/>
  <c r="AD211" i="2"/>
  <c r="AE211" i="2" l="1"/>
  <c r="X212" i="2" l="1"/>
  <c r="Y212" i="2" s="1"/>
  <c r="AA212" i="2" l="1"/>
  <c r="AB212" i="2"/>
  <c r="Z212" i="2"/>
  <c r="AC212" i="2"/>
  <c r="AD212" i="2"/>
  <c r="AE212" i="2" l="1"/>
  <c r="X213" i="2" l="1"/>
  <c r="Y213" i="2" s="1"/>
  <c r="AA213" i="2" l="1"/>
  <c r="AB213" i="2"/>
  <c r="Z213" i="2"/>
  <c r="AC213" i="2"/>
  <c r="AD213" i="2"/>
  <c r="AE213" i="2" l="1"/>
  <c r="X214" i="2" l="1"/>
  <c r="Y214" i="2" s="1"/>
  <c r="AA214" i="2" l="1"/>
  <c r="AB214" i="2"/>
  <c r="Z214" i="2"/>
  <c r="AC214" i="2"/>
  <c r="AD214" i="2"/>
  <c r="AE214" i="2" l="1"/>
  <c r="X215" i="2" l="1"/>
  <c r="Y215" i="2" s="1"/>
  <c r="AA215" i="2" l="1"/>
  <c r="AB215" i="2"/>
  <c r="Z215" i="2"/>
  <c r="AC215" i="2"/>
  <c r="AD215" i="2"/>
  <c r="AE215" i="2" l="1"/>
  <c r="X216" i="2" l="1"/>
  <c r="Z216" i="2" l="1"/>
  <c r="AC216" i="2"/>
  <c r="Y216" i="2"/>
  <c r="AD216" i="2"/>
  <c r="AA216" i="2" l="1"/>
  <c r="AB216" i="2"/>
  <c r="AE216" i="2" s="1"/>
  <c r="X217" i="2" l="1"/>
  <c r="Z217" i="2" l="1"/>
  <c r="AC217" i="2"/>
  <c r="Y217" i="2"/>
  <c r="AD217" i="2"/>
  <c r="AA217" i="2" l="1"/>
  <c r="AB217" i="2"/>
  <c r="AE217" i="2" s="1"/>
  <c r="X218" i="2" l="1"/>
  <c r="Y218" i="2" s="1"/>
  <c r="AA218" i="2" l="1"/>
  <c r="AB218" i="2"/>
  <c r="Z218" i="2"/>
  <c r="AC218" i="2"/>
  <c r="AD218" i="2"/>
  <c r="AE218" i="2" l="1"/>
  <c r="X219" i="2" l="1"/>
  <c r="Y219" i="2" s="1"/>
  <c r="AA219" i="2" l="1"/>
  <c r="AB219" i="2"/>
  <c r="Z219" i="2"/>
  <c r="AC219" i="2"/>
  <c r="AD219" i="2"/>
  <c r="AE219" i="2" l="1"/>
  <c r="X220" i="2" l="1"/>
  <c r="Y220" i="2" s="1"/>
  <c r="AA220" i="2" l="1"/>
  <c r="AB220" i="2"/>
  <c r="Z220" i="2"/>
  <c r="AC220" i="2"/>
  <c r="AD220" i="2"/>
  <c r="AE220" i="2" l="1"/>
  <c r="X221" i="2" l="1"/>
  <c r="Z221" i="2" l="1"/>
  <c r="AC221" i="2"/>
  <c r="Y221" i="2"/>
  <c r="AD221" i="2"/>
  <c r="AA221" i="2" l="1"/>
  <c r="AB221" i="2"/>
  <c r="AE221" i="2" s="1"/>
  <c r="X222" i="2" l="1"/>
  <c r="Z222" i="2" l="1"/>
  <c r="AC222" i="2"/>
  <c r="Y222" i="2"/>
  <c r="AD222" i="2"/>
  <c r="AA222" i="2" l="1"/>
  <c r="AB222" i="2"/>
  <c r="AE222" i="2" s="1"/>
  <c r="X223" i="2" l="1"/>
  <c r="Z223" i="2" l="1"/>
  <c r="AC223" i="2"/>
  <c r="Y223" i="2"/>
  <c r="AD223" i="2"/>
  <c r="AA223" i="2" l="1"/>
  <c r="AB223" i="2"/>
  <c r="AE223" i="2" s="1"/>
  <c r="X224" i="2" l="1"/>
  <c r="Y224" i="2" s="1"/>
  <c r="AA224" i="2" l="1"/>
  <c r="AB224" i="2"/>
  <c r="Z224" i="2"/>
  <c r="AC224" i="2"/>
  <c r="AD224" i="2"/>
  <c r="AE224" i="2" l="1"/>
  <c r="X225" i="2" l="1"/>
  <c r="Z225" i="2" l="1"/>
  <c r="AC225" i="2"/>
  <c r="Y225" i="2"/>
  <c r="AD225" i="2"/>
  <c r="AA225" i="2" l="1"/>
  <c r="AB225" i="2"/>
  <c r="AE225" i="2" s="1"/>
  <c r="X226" i="2" l="1"/>
  <c r="Y226" i="2" s="1"/>
  <c r="AA226" i="2" l="1"/>
  <c r="AB226" i="2"/>
  <c r="Z226" i="2"/>
  <c r="AC226" i="2"/>
  <c r="AD226" i="2"/>
  <c r="AE226" i="2" l="1"/>
  <c r="X227" i="2" l="1"/>
  <c r="Y227" i="2" s="1"/>
  <c r="AA227" i="2" l="1"/>
  <c r="AB227" i="2"/>
  <c r="Z227" i="2"/>
  <c r="AC227" i="2"/>
  <c r="AD227" i="2"/>
  <c r="AE227" i="2" l="1"/>
  <c r="X228" i="2" l="1"/>
  <c r="Y228" i="2" s="1"/>
  <c r="AA228" i="2" l="1"/>
  <c r="AB228" i="2"/>
  <c r="Z228" i="2"/>
  <c r="AC228" i="2"/>
  <c r="AD228" i="2"/>
  <c r="AE228" i="2" l="1"/>
  <c r="X229" i="2" l="1"/>
  <c r="Y229" i="2" s="1"/>
  <c r="AA229" i="2" l="1"/>
  <c r="AB229" i="2"/>
  <c r="Z229" i="2"/>
  <c r="AC229" i="2"/>
  <c r="AD229" i="2"/>
  <c r="AE229" i="2" l="1"/>
  <c r="X230" i="2" l="1"/>
  <c r="Y230" i="2" s="1"/>
  <c r="AA230" i="2" l="1"/>
  <c r="AB230" i="2"/>
  <c r="Z230" i="2"/>
  <c r="AC230" i="2"/>
  <c r="AD230" i="2"/>
  <c r="AE230" i="2" l="1"/>
  <c r="X231" i="2" l="1"/>
  <c r="Z231" i="2" l="1"/>
  <c r="AC231" i="2"/>
  <c r="Y231" i="2"/>
  <c r="AD231" i="2"/>
  <c r="AA231" i="2" l="1"/>
  <c r="AB231" i="2"/>
  <c r="AE231" i="2" s="1"/>
  <c r="X232" i="2" l="1"/>
  <c r="Z232" i="2" l="1"/>
  <c r="AC232" i="2"/>
  <c r="Y232" i="2"/>
  <c r="AD232" i="2"/>
  <c r="AA232" i="2" l="1"/>
  <c r="AB232" i="2"/>
  <c r="AE232" i="2" s="1"/>
  <c r="X233" i="2" l="1"/>
  <c r="Z233" i="2" l="1"/>
  <c r="AC233" i="2"/>
  <c r="Y233" i="2"/>
  <c r="AD233" i="2"/>
  <c r="AA233" i="2" l="1"/>
  <c r="AB233" i="2"/>
  <c r="AE233" i="2" s="1"/>
  <c r="X234" i="2" l="1"/>
  <c r="Y234" i="2" s="1"/>
  <c r="AA234" i="2" l="1"/>
  <c r="AB234" i="2"/>
  <c r="Z234" i="2"/>
  <c r="AC234" i="2"/>
  <c r="AD234" i="2"/>
  <c r="AE234" i="2" l="1"/>
  <c r="X235" i="2" l="1"/>
  <c r="Y235" i="2" s="1"/>
  <c r="AA235" i="2" l="1"/>
  <c r="AB235" i="2"/>
  <c r="Z235" i="2"/>
  <c r="AC235" i="2"/>
  <c r="AD235" i="2"/>
  <c r="AE235" i="2" l="1"/>
  <c r="X236" i="2" l="1"/>
  <c r="Z236" i="2" l="1"/>
  <c r="AC236" i="2"/>
  <c r="Y236" i="2"/>
  <c r="AD236" i="2"/>
  <c r="AA236" i="2" l="1"/>
  <c r="AB236" i="2"/>
  <c r="AE236" i="2" s="1"/>
  <c r="X237" i="2" l="1"/>
  <c r="Z237" i="2" l="1"/>
  <c r="AC237" i="2"/>
  <c r="Y237" i="2"/>
  <c r="AD237" i="2"/>
  <c r="AA237" i="2" l="1"/>
  <c r="AB237" i="2"/>
  <c r="AE237" i="2" s="1"/>
  <c r="X238" i="2" l="1"/>
  <c r="Z238" i="2" l="1"/>
  <c r="AC238" i="2"/>
  <c r="Y238" i="2"/>
  <c r="AD238" i="2"/>
  <c r="AA238" i="2" l="1"/>
  <c r="AB238" i="2"/>
  <c r="AE238" i="2" s="1"/>
  <c r="X239" i="2" l="1"/>
  <c r="Z239" i="2" l="1"/>
  <c r="AC239" i="2"/>
  <c r="Y239" i="2"/>
  <c r="AD239" i="2"/>
  <c r="AA239" i="2" l="1"/>
  <c r="AB239" i="2"/>
  <c r="AE239" i="2" s="1"/>
  <c r="X240" i="2" l="1"/>
  <c r="Y240" i="2" s="1"/>
  <c r="AA240" i="2" l="1"/>
  <c r="AB240" i="2"/>
  <c r="Z240" i="2"/>
  <c r="AC240" i="2"/>
  <c r="AD240" i="2"/>
  <c r="AE240" i="2" l="1"/>
  <c r="X241" i="2" l="1"/>
  <c r="Z241" i="2" l="1"/>
  <c r="AC241" i="2"/>
  <c r="Y241" i="2"/>
  <c r="AD241" i="2"/>
  <c r="AA241" i="2" l="1"/>
  <c r="AB241" i="2"/>
  <c r="AE241" i="2" s="1"/>
  <c r="X242" i="2" l="1"/>
  <c r="Y242" i="2" s="1"/>
  <c r="AA242" i="2" l="1"/>
  <c r="AB242" i="2"/>
  <c r="Z242" i="2"/>
  <c r="AC242" i="2"/>
  <c r="AD242" i="2"/>
  <c r="AE242" i="2" l="1"/>
  <c r="X243" i="2" l="1"/>
  <c r="Y243" i="2" s="1"/>
  <c r="AA243" i="2" l="1"/>
  <c r="AB243" i="2"/>
  <c r="Z243" i="2"/>
  <c r="AC243" i="2"/>
  <c r="AD243" i="2"/>
  <c r="AE243" i="2" l="1"/>
  <c r="X244" i="2" l="1"/>
  <c r="Y244" i="2" s="1"/>
  <c r="AA244" i="2" l="1"/>
  <c r="AB244" i="2"/>
  <c r="Z244" i="2"/>
  <c r="AC244" i="2"/>
  <c r="AD244" i="2"/>
  <c r="AE244" i="2" l="1"/>
  <c r="X245" i="2" l="1"/>
  <c r="Y245" i="2" s="1"/>
  <c r="AA245" i="2" l="1"/>
  <c r="AB245" i="2"/>
  <c r="Z245" i="2"/>
  <c r="AC245" i="2"/>
  <c r="AD245" i="2"/>
  <c r="AE245" i="2" l="1"/>
  <c r="X246" i="2" l="1"/>
  <c r="Y246" i="2" s="1"/>
  <c r="AA246" i="2" l="1"/>
  <c r="AB246" i="2"/>
  <c r="Z246" i="2"/>
  <c r="AC246" i="2"/>
  <c r="AD246" i="2"/>
  <c r="AE246" i="2" l="1"/>
  <c r="X247" i="2" l="1"/>
  <c r="Y247" i="2" s="1"/>
  <c r="AA247" i="2" l="1"/>
  <c r="AB247" i="2"/>
  <c r="Z247" i="2"/>
  <c r="AC247" i="2"/>
  <c r="AD247" i="2"/>
  <c r="AE247" i="2" l="1"/>
  <c r="X248" i="2" l="1"/>
  <c r="Z248" i="2" l="1"/>
  <c r="AC248" i="2"/>
  <c r="Y248" i="2"/>
  <c r="AD248" i="2"/>
  <c r="AA248" i="2" l="1"/>
  <c r="AB248" i="2"/>
  <c r="AE248" i="2" s="1"/>
  <c r="X249" i="2" l="1"/>
  <c r="Z249" i="2" l="1"/>
  <c r="AC249" i="2"/>
  <c r="Y249" i="2"/>
  <c r="AD249" i="2"/>
  <c r="AA249" i="2" l="1"/>
  <c r="AB249" i="2"/>
  <c r="AE249" i="2" s="1"/>
  <c r="X250" i="2" l="1"/>
  <c r="Y250" i="2" s="1"/>
  <c r="AA250" i="2" l="1"/>
  <c r="AB250" i="2"/>
  <c r="Z250" i="2"/>
  <c r="AC250" i="2"/>
  <c r="AD250" i="2"/>
  <c r="AE250" i="2" l="1"/>
  <c r="X251" i="2" l="1"/>
  <c r="Z251" i="2" l="1"/>
  <c r="AC251" i="2"/>
  <c r="Y251" i="2"/>
  <c r="AD251" i="2"/>
  <c r="AA251" i="2" l="1"/>
  <c r="AB251" i="2"/>
  <c r="AE251" i="2" s="1"/>
  <c r="X252" i="2" l="1"/>
  <c r="Y252" i="2" s="1"/>
  <c r="AA252" i="2" l="1"/>
  <c r="AB252" i="2"/>
  <c r="Z252" i="2"/>
  <c r="AC252" i="2"/>
  <c r="AD252" i="2"/>
  <c r="AE252" i="2" l="1"/>
  <c r="X253" i="2" l="1"/>
  <c r="Y253" i="2" s="1"/>
  <c r="AA253" i="2" l="1"/>
  <c r="AB253" i="2"/>
  <c r="Z253" i="2"/>
  <c r="AC253" i="2"/>
  <c r="AD253" i="2"/>
  <c r="AE253" i="2" l="1"/>
  <c r="X254" i="2" l="1"/>
  <c r="Z254" i="2" l="1"/>
  <c r="AC254" i="2"/>
  <c r="Y254" i="2"/>
  <c r="AD254" i="2"/>
  <c r="AA254" i="2" l="1"/>
  <c r="AB254" i="2"/>
  <c r="AE254" i="2" s="1"/>
  <c r="X255" i="2" l="1"/>
  <c r="Z255" i="2" l="1"/>
  <c r="AC255" i="2"/>
  <c r="Y255" i="2"/>
  <c r="AD255" i="2"/>
  <c r="AA255" i="2" l="1"/>
  <c r="AB255" i="2"/>
  <c r="AE255" i="2" s="1"/>
  <c r="X256" i="2" l="1"/>
  <c r="Y256" i="2" s="1"/>
  <c r="AA256" i="2" l="1"/>
  <c r="AB256" i="2"/>
  <c r="Z256" i="2"/>
  <c r="AC256" i="2"/>
  <c r="AD256" i="2"/>
  <c r="AE256" i="2" l="1"/>
  <c r="X257" i="2" l="1"/>
  <c r="Z257" i="2" l="1"/>
  <c r="AC257" i="2"/>
  <c r="Y257" i="2"/>
  <c r="AD257" i="2"/>
  <c r="AA257" i="2" l="1"/>
  <c r="AB257" i="2"/>
  <c r="AE257" i="2" s="1"/>
  <c r="X258" i="2" l="1"/>
  <c r="Z258" i="2" l="1"/>
  <c r="AC258" i="2"/>
  <c r="Y258" i="2"/>
  <c r="AD258" i="2"/>
  <c r="AA258" i="2" l="1"/>
  <c r="AB258" i="2"/>
  <c r="AE258" i="2" s="1"/>
  <c r="X259" i="2" l="1"/>
  <c r="Z259" i="2" l="1"/>
  <c r="AC259" i="2"/>
  <c r="Y259" i="2"/>
  <c r="AD259" i="2"/>
  <c r="AA259" i="2" l="1"/>
  <c r="AB259" i="2"/>
  <c r="AE259" i="2" s="1"/>
  <c r="X260" i="2" l="1"/>
  <c r="Y260" i="2" s="1"/>
  <c r="AA260" i="2" l="1"/>
  <c r="AB260" i="2"/>
  <c r="Z260" i="2"/>
  <c r="AC260" i="2"/>
  <c r="AD260" i="2"/>
  <c r="AE260" i="2" l="1"/>
  <c r="X261" i="2" l="1"/>
  <c r="Z261" i="2" l="1"/>
  <c r="AC261" i="2"/>
  <c r="Y261" i="2"/>
  <c r="AD261" i="2"/>
  <c r="AA261" i="2" l="1"/>
  <c r="AB261" i="2"/>
  <c r="AE261" i="2" s="1"/>
  <c r="X262" i="2" l="1"/>
  <c r="Z262" i="2" l="1"/>
  <c r="AC262" i="2"/>
  <c r="Y262" i="2"/>
  <c r="AD262" i="2"/>
  <c r="AA262" i="2" l="1"/>
  <c r="AB262" i="2"/>
  <c r="AE262" i="2" s="1"/>
  <c r="X263" i="2" l="1"/>
  <c r="Z263" i="2" l="1"/>
  <c r="AC263" i="2"/>
  <c r="Y263" i="2"/>
  <c r="AD263" i="2"/>
  <c r="AA263" i="2" l="1"/>
  <c r="AB263" i="2"/>
  <c r="AE263" i="2" s="1"/>
  <c r="X264" i="2" l="1"/>
  <c r="Z264" i="2" l="1"/>
  <c r="AC264" i="2"/>
  <c r="Y264" i="2"/>
  <c r="AD264" i="2"/>
  <c r="AA264" i="2" l="1"/>
  <c r="AB264" i="2"/>
  <c r="AE264" i="2" s="1"/>
  <c r="X265" i="2" l="1"/>
  <c r="Z265" i="2" l="1"/>
  <c r="AC265" i="2"/>
  <c r="Y265" i="2"/>
  <c r="AD265" i="2"/>
  <c r="AA265" i="2" l="1"/>
  <c r="AB265" i="2"/>
  <c r="AE265" i="2" s="1"/>
  <c r="X266" i="2" l="1"/>
  <c r="Y266" i="2" s="1"/>
  <c r="AA266" i="2" l="1"/>
  <c r="AB266" i="2"/>
  <c r="Z266" i="2"/>
  <c r="AC266" i="2"/>
  <c r="AD266" i="2"/>
  <c r="AE266" i="2" l="1"/>
  <c r="X267" i="2" l="1"/>
  <c r="Z267" i="2" l="1"/>
  <c r="AC267" i="2"/>
  <c r="Y267" i="2"/>
  <c r="AD267" i="2"/>
  <c r="AA267" i="2" l="1"/>
  <c r="AB267" i="2"/>
  <c r="AE267" i="2" s="1"/>
  <c r="X268" i="2" l="1"/>
  <c r="Y268" i="2" s="1"/>
  <c r="AA268" i="2" l="1"/>
  <c r="AB268" i="2"/>
  <c r="Z268" i="2"/>
  <c r="AC268" i="2"/>
  <c r="AD268" i="2"/>
  <c r="AE268" i="2" l="1"/>
  <c r="X269" i="2" l="1"/>
  <c r="Z269" i="2" l="1"/>
  <c r="AC269" i="2"/>
  <c r="Y269" i="2"/>
  <c r="AD269" i="2"/>
  <c r="AA269" i="2" l="1"/>
  <c r="AB269" i="2"/>
  <c r="AE269" i="2" s="1"/>
  <c r="X270" i="2" l="1"/>
  <c r="Z270" i="2" l="1"/>
  <c r="AC270" i="2"/>
  <c r="B5" i="2"/>
  <c r="Y270" i="2"/>
  <c r="AD270" i="2"/>
  <c r="AA270" i="2" l="1"/>
  <c r="AB270" i="2"/>
  <c r="AE270" i="2" s="1"/>
</calcChain>
</file>

<file path=xl/sharedStrings.xml><?xml version="1.0" encoding="utf-8"?>
<sst xmlns="http://schemas.openxmlformats.org/spreadsheetml/2006/main" count="15" uniqueCount="11">
  <si>
    <t>prime</t>
  </si>
  <si>
    <t>a</t>
  </si>
  <si>
    <t>b</t>
  </si>
  <si>
    <t>x</t>
  </si>
  <si>
    <t>y</t>
  </si>
  <si>
    <t>-y</t>
  </si>
  <si>
    <t>Gx</t>
  </si>
  <si>
    <t>Gy</t>
  </si>
  <si>
    <t>N</t>
  </si>
  <si>
    <t>y^2 mod p</t>
  </si>
  <si>
    <t>#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</si>
</sst>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quotePrefix="1" applyAlignment="1">
      <alignment horizontal="right"/>
    </xf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3" borderId="3" xfId="0" applyFill="1" applyBorder="1"/>
    <xf numFmtId="0" fontId="0" fillId="3" borderId="4" xfId="0" applyFill="1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2" xfId="0" applyBorder="1"/>
    <xf numFmtId="0" fontId="0" fillId="2" borderId="7" xfId="0" applyFill="1" applyBorder="1"/>
    <xf numFmtId="0" fontId="0" fillId="0" borderId="7" xfId="0" applyBorder="1"/>
    <xf numFmtId="0" fontId="0" fillId="0" borderId="0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-1.6343650000000001</c:v>
                </c:pt>
                <c:pt idx="1">
                  <c:v>-1.534365</c:v>
                </c:pt>
                <c:pt idx="2">
                  <c:v>-1.4343649999999999</c:v>
                </c:pt>
                <c:pt idx="3">
                  <c:v>-1.3343649999999998</c:v>
                </c:pt>
                <c:pt idx="4">
                  <c:v>-1.2343649999999997</c:v>
                </c:pt>
                <c:pt idx="5">
                  <c:v>-1.1343649999999996</c:v>
                </c:pt>
                <c:pt idx="6">
                  <c:v>-1.0343649999999995</c:v>
                </c:pt>
                <c:pt idx="7">
                  <c:v>-0.93436499999999956</c:v>
                </c:pt>
                <c:pt idx="8">
                  <c:v>-0.83436499999999958</c:v>
                </c:pt>
                <c:pt idx="9">
                  <c:v>-0.7343649999999996</c:v>
                </c:pt>
                <c:pt idx="10">
                  <c:v>-0.63436499999999962</c:v>
                </c:pt>
                <c:pt idx="11">
                  <c:v>-0.53436499999999965</c:v>
                </c:pt>
                <c:pt idx="12">
                  <c:v>-0.43436499999999967</c:v>
                </c:pt>
                <c:pt idx="13">
                  <c:v>-0.33436499999999969</c:v>
                </c:pt>
                <c:pt idx="14">
                  <c:v>-0.23436499999999968</c:v>
                </c:pt>
                <c:pt idx="15">
                  <c:v>-0.13436499999999968</c:v>
                </c:pt>
                <c:pt idx="16">
                  <c:v>-3.4364999999999674E-2</c:v>
                </c:pt>
                <c:pt idx="17">
                  <c:v>6.5635000000000332E-2</c:v>
                </c:pt>
                <c:pt idx="18">
                  <c:v>0.16563500000000034</c:v>
                </c:pt>
                <c:pt idx="19">
                  <c:v>0.26563500000000034</c:v>
                </c:pt>
                <c:pt idx="20">
                  <c:v>0.36563500000000038</c:v>
                </c:pt>
                <c:pt idx="21">
                  <c:v>0.46563500000000035</c:v>
                </c:pt>
                <c:pt idx="22">
                  <c:v>0.56563500000000033</c:v>
                </c:pt>
                <c:pt idx="23">
                  <c:v>0.66563500000000031</c:v>
                </c:pt>
                <c:pt idx="24">
                  <c:v>0.76563500000000029</c:v>
                </c:pt>
                <c:pt idx="25">
                  <c:v>0.86563500000000027</c:v>
                </c:pt>
                <c:pt idx="26">
                  <c:v>0.96563500000000024</c:v>
                </c:pt>
                <c:pt idx="27">
                  <c:v>1.0656350000000003</c:v>
                </c:pt>
                <c:pt idx="28">
                  <c:v>1.1656350000000004</c:v>
                </c:pt>
                <c:pt idx="29">
                  <c:v>1.2656350000000005</c:v>
                </c:pt>
                <c:pt idx="30">
                  <c:v>1.3656350000000006</c:v>
                </c:pt>
                <c:pt idx="31">
                  <c:v>1.4656350000000007</c:v>
                </c:pt>
                <c:pt idx="32">
                  <c:v>1.5656350000000008</c:v>
                </c:pt>
                <c:pt idx="33">
                  <c:v>1.6656350000000009</c:v>
                </c:pt>
                <c:pt idx="34">
                  <c:v>1.765635000000001</c:v>
                </c:pt>
                <c:pt idx="35">
                  <c:v>1.865635000000001</c:v>
                </c:pt>
                <c:pt idx="36">
                  <c:v>1.9656350000000011</c:v>
                </c:pt>
                <c:pt idx="37">
                  <c:v>2.0656350000000012</c:v>
                </c:pt>
                <c:pt idx="38">
                  <c:v>2.1656350000000013</c:v>
                </c:pt>
                <c:pt idx="39">
                  <c:v>2.2656350000000014</c:v>
                </c:pt>
                <c:pt idx="40">
                  <c:v>2.3656350000000015</c:v>
                </c:pt>
                <c:pt idx="41">
                  <c:v>2.4656350000000016</c:v>
                </c:pt>
                <c:pt idx="42">
                  <c:v>2.5656350000000017</c:v>
                </c:pt>
                <c:pt idx="43">
                  <c:v>2.6656350000000018</c:v>
                </c:pt>
                <c:pt idx="44">
                  <c:v>2.7656350000000018</c:v>
                </c:pt>
                <c:pt idx="45">
                  <c:v>2.8656350000000019</c:v>
                </c:pt>
                <c:pt idx="46">
                  <c:v>2.965635000000002</c:v>
                </c:pt>
              </c:numCache>
            </c:numRef>
          </c:xVal>
          <c:yVal>
            <c:numRef>
              <c:f>EC!$B$7:$B$53</c:f>
              <c:numCache>
                <c:formatCode>0.00</c:formatCode>
                <c:ptCount val="47"/>
                <c:pt idx="0">
                  <c:v>1.6251345858398754E-3</c:v>
                </c:pt>
                <c:pt idx="1">
                  <c:v>0.9237512527893661</c:v>
                </c:pt>
                <c:pt idx="2">
                  <c:v>1.2706566070333178</c:v>
                </c:pt>
                <c:pt idx="3">
                  <c:v>1.51319468310093</c:v>
                </c:pt>
                <c:pt idx="4">
                  <c:v>1.6984952708007239</c:v>
                </c:pt>
                <c:pt idx="5">
                  <c:v>1.845522235276488</c:v>
                </c:pt>
                <c:pt idx="6">
                  <c:v>1.9644227032050472</c:v>
                </c:pt>
                <c:pt idx="7">
                  <c:v>2.0615282905735066</c:v>
                </c:pt>
                <c:pt idx="8">
                  <c:v>2.1412097815960083</c:v>
                </c:pt>
                <c:pt idx="9">
                  <c:v>2.2067165347569957</c:v>
                </c:pt>
                <c:pt idx="10">
                  <c:v>2.26060932067826</c:v>
                </c:pt>
                <c:pt idx="11">
                  <c:v>2.3050052574137272</c:v>
                </c:pt>
                <c:pt idx="12">
                  <c:v>2.341726301827868</c:v>
                </c:pt>
                <c:pt idx="13">
                  <c:v>2.3723939404407361</c:v>
                </c:pt>
                <c:pt idx="14">
                  <c:v>2.3984916186235514</c:v>
                </c:pt>
                <c:pt idx="15">
                  <c:v>2.4214064467938718</c:v>
                </c:pt>
                <c:pt idx="16">
                  <c:v>2.4424566355500406</c:v>
                </c:pt>
                <c:pt idx="17">
                  <c:v>2.4629083930406188</c:v>
                </c:pt>
                <c:pt idx="18">
                  <c:v>2.4839845386953243</c:v>
                </c:pt>
                <c:pt idx="19">
                  <c:v>2.5068663156309161</c:v>
                </c:pt>
                <c:pt idx="20">
                  <c:v>2.5326895507370071</c:v>
                </c:pt>
                <c:pt idx="21">
                  <c:v>2.5625362624516992</c:v>
                </c:pt>
                <c:pt idx="22">
                  <c:v>2.5974229405985123</c:v>
                </c:pt>
                <c:pt idx="23">
                  <c:v>2.6382869192555467</c:v>
                </c:pt>
                <c:pt idx="24">
                  <c:v>2.6859724317800477</c:v>
                </c:pt>
                <c:pt idx="25">
                  <c:v>2.7412179848107527</c:v>
                </c:pt>
                <c:pt idx="26">
                  <c:v>2.8046465510323086</c:v>
                </c:pt>
                <c:pt idx="27">
                  <c:v>2.87675974182498</c:v>
                </c:pt>
                <c:pt idx="28">
                  <c:v>2.9579366200364108</c:v>
                </c:pt>
                <c:pt idx="29">
                  <c:v>3.0484372363753738</c:v>
                </c:pt>
                <c:pt idx="30">
                  <c:v>3.1484104275153562</c:v>
                </c:pt>
                <c:pt idx="31">
                  <c:v>3.2579049949399885</c:v>
                </c:pt>
                <c:pt idx="32">
                  <c:v>3.3768831475226424</c:v>
                </c:pt>
                <c:pt idx="33">
                  <c:v>3.5052350460404123</c:v>
                </c:pt>
                <c:pt idx="34">
                  <c:v>3.6427934012180039</c:v>
                </c:pt>
                <c:pt idx="35">
                  <c:v>3.7893472920708833</c:v>
                </c:pt>
                <c:pt idx="36">
                  <c:v>3.9446546282142925</c:v>
                </c:pt>
                <c:pt idx="37">
                  <c:v>4.1084529292496388</c:v>
                </c:pt>
                <c:pt idx="38">
                  <c:v>4.2804683047334251</c:v>
                </c:pt>
                <c:pt idx="39">
                  <c:v>4.4604226754641703</c:v>
                </c:pt>
                <c:pt idx="40">
                  <c:v>4.6480393801862796</c:v>
                </c:pt>
                <c:pt idx="41">
                  <c:v>4.8430473687266318</c:v>
                </c:pt>
                <c:pt idx="42">
                  <c:v>5.0451842039411661</c:v>
                </c:pt>
                <c:pt idx="43">
                  <c:v>5.2541980917800348</c:v>
                </c:pt>
                <c:pt idx="44">
                  <c:v>5.4698491408477139</c:v>
                </c:pt>
                <c:pt idx="45">
                  <c:v>5.691910027363396</c:v>
                </c:pt>
                <c:pt idx="46">
                  <c:v>5.9201662135084918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A3-435B-BFB2-4A375F58E506}"/>
            </c:ext>
          </c:extLst>
        </c:ser>
        <c:ser>
          <c:idx val="1"/>
          <c:order val="1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-1.6343650000000001</c:v>
                </c:pt>
                <c:pt idx="1">
                  <c:v>-1.534365</c:v>
                </c:pt>
                <c:pt idx="2">
                  <c:v>-1.4343649999999999</c:v>
                </c:pt>
                <c:pt idx="3">
                  <c:v>-1.3343649999999998</c:v>
                </c:pt>
                <c:pt idx="4">
                  <c:v>-1.2343649999999997</c:v>
                </c:pt>
                <c:pt idx="5">
                  <c:v>-1.1343649999999996</c:v>
                </c:pt>
                <c:pt idx="6">
                  <c:v>-1.0343649999999995</c:v>
                </c:pt>
                <c:pt idx="7">
                  <c:v>-0.93436499999999956</c:v>
                </c:pt>
                <c:pt idx="8">
                  <c:v>-0.83436499999999958</c:v>
                </c:pt>
                <c:pt idx="9">
                  <c:v>-0.7343649999999996</c:v>
                </c:pt>
                <c:pt idx="10">
                  <c:v>-0.63436499999999962</c:v>
                </c:pt>
                <c:pt idx="11">
                  <c:v>-0.53436499999999965</c:v>
                </c:pt>
                <c:pt idx="12">
                  <c:v>-0.43436499999999967</c:v>
                </c:pt>
                <c:pt idx="13">
                  <c:v>-0.33436499999999969</c:v>
                </c:pt>
                <c:pt idx="14">
                  <c:v>-0.23436499999999968</c:v>
                </c:pt>
                <c:pt idx="15">
                  <c:v>-0.13436499999999968</c:v>
                </c:pt>
                <c:pt idx="16">
                  <c:v>-3.4364999999999674E-2</c:v>
                </c:pt>
                <c:pt idx="17">
                  <c:v>6.5635000000000332E-2</c:v>
                </c:pt>
                <c:pt idx="18">
                  <c:v>0.16563500000000034</c:v>
                </c:pt>
                <c:pt idx="19">
                  <c:v>0.26563500000000034</c:v>
                </c:pt>
                <c:pt idx="20">
                  <c:v>0.36563500000000038</c:v>
                </c:pt>
                <c:pt idx="21">
                  <c:v>0.46563500000000035</c:v>
                </c:pt>
                <c:pt idx="22">
                  <c:v>0.56563500000000033</c:v>
                </c:pt>
                <c:pt idx="23">
                  <c:v>0.66563500000000031</c:v>
                </c:pt>
                <c:pt idx="24">
                  <c:v>0.76563500000000029</c:v>
                </c:pt>
                <c:pt idx="25">
                  <c:v>0.86563500000000027</c:v>
                </c:pt>
                <c:pt idx="26">
                  <c:v>0.96563500000000024</c:v>
                </c:pt>
                <c:pt idx="27">
                  <c:v>1.0656350000000003</c:v>
                </c:pt>
                <c:pt idx="28">
                  <c:v>1.1656350000000004</c:v>
                </c:pt>
                <c:pt idx="29">
                  <c:v>1.2656350000000005</c:v>
                </c:pt>
                <c:pt idx="30">
                  <c:v>1.3656350000000006</c:v>
                </c:pt>
                <c:pt idx="31">
                  <c:v>1.4656350000000007</c:v>
                </c:pt>
                <c:pt idx="32">
                  <c:v>1.5656350000000008</c:v>
                </c:pt>
                <c:pt idx="33">
                  <c:v>1.6656350000000009</c:v>
                </c:pt>
                <c:pt idx="34">
                  <c:v>1.765635000000001</c:v>
                </c:pt>
                <c:pt idx="35">
                  <c:v>1.865635000000001</c:v>
                </c:pt>
                <c:pt idx="36">
                  <c:v>1.9656350000000011</c:v>
                </c:pt>
                <c:pt idx="37">
                  <c:v>2.0656350000000012</c:v>
                </c:pt>
                <c:pt idx="38">
                  <c:v>2.1656350000000013</c:v>
                </c:pt>
                <c:pt idx="39">
                  <c:v>2.2656350000000014</c:v>
                </c:pt>
                <c:pt idx="40">
                  <c:v>2.3656350000000015</c:v>
                </c:pt>
                <c:pt idx="41">
                  <c:v>2.4656350000000016</c:v>
                </c:pt>
                <c:pt idx="42">
                  <c:v>2.5656350000000017</c:v>
                </c:pt>
                <c:pt idx="43">
                  <c:v>2.6656350000000018</c:v>
                </c:pt>
                <c:pt idx="44">
                  <c:v>2.7656350000000018</c:v>
                </c:pt>
                <c:pt idx="45">
                  <c:v>2.8656350000000019</c:v>
                </c:pt>
                <c:pt idx="46">
                  <c:v>2.965635000000002</c:v>
                </c:pt>
              </c:numCache>
            </c:numRef>
          </c:xVal>
          <c:yVal>
            <c:numRef>
              <c:f>EC!$C$7:$C$53</c:f>
              <c:numCache>
                <c:formatCode>0.00</c:formatCode>
                <c:ptCount val="47"/>
                <c:pt idx="0">
                  <c:v>-1.6251345858398754E-3</c:v>
                </c:pt>
                <c:pt idx="1">
                  <c:v>-0.9237512527893661</c:v>
                </c:pt>
                <c:pt idx="2">
                  <c:v>-1.2706566070333178</c:v>
                </c:pt>
                <c:pt idx="3">
                  <c:v>-1.51319468310093</c:v>
                </c:pt>
                <c:pt idx="4">
                  <c:v>-1.6984952708007239</c:v>
                </c:pt>
                <c:pt idx="5">
                  <c:v>-1.845522235276488</c:v>
                </c:pt>
                <c:pt idx="6">
                  <c:v>-1.9644227032050472</c:v>
                </c:pt>
                <c:pt idx="7">
                  <c:v>-2.0615282905735066</c:v>
                </c:pt>
                <c:pt idx="8">
                  <c:v>-2.1412097815960083</c:v>
                </c:pt>
                <c:pt idx="9">
                  <c:v>-2.2067165347569957</c:v>
                </c:pt>
                <c:pt idx="10">
                  <c:v>-2.26060932067826</c:v>
                </c:pt>
                <c:pt idx="11">
                  <c:v>-2.3050052574137272</c:v>
                </c:pt>
                <c:pt idx="12">
                  <c:v>-2.341726301827868</c:v>
                </c:pt>
                <c:pt idx="13">
                  <c:v>-2.3723939404407361</c:v>
                </c:pt>
                <c:pt idx="14">
                  <c:v>-2.3984916186235514</c:v>
                </c:pt>
                <c:pt idx="15">
                  <c:v>-2.4214064467938718</c:v>
                </c:pt>
                <c:pt idx="16">
                  <c:v>-2.4424566355500406</c:v>
                </c:pt>
                <c:pt idx="17">
                  <c:v>-2.4629083930406188</c:v>
                </c:pt>
                <c:pt idx="18">
                  <c:v>-2.4839845386953243</c:v>
                </c:pt>
                <c:pt idx="19">
                  <c:v>-2.5068663156309161</c:v>
                </c:pt>
                <c:pt idx="20">
                  <c:v>-2.5326895507370071</c:v>
                </c:pt>
                <c:pt idx="21">
                  <c:v>-2.5625362624516992</c:v>
                </c:pt>
                <c:pt idx="22">
                  <c:v>-2.5974229405985123</c:v>
                </c:pt>
                <c:pt idx="23">
                  <c:v>-2.6382869192555467</c:v>
                </c:pt>
                <c:pt idx="24">
                  <c:v>-2.6859724317800477</c:v>
                </c:pt>
                <c:pt idx="25">
                  <c:v>-2.7412179848107527</c:v>
                </c:pt>
                <c:pt idx="26">
                  <c:v>-2.8046465510323086</c:v>
                </c:pt>
                <c:pt idx="27">
                  <c:v>-2.87675974182498</c:v>
                </c:pt>
                <c:pt idx="28">
                  <c:v>-2.9579366200364108</c:v>
                </c:pt>
                <c:pt idx="29">
                  <c:v>-3.0484372363753738</c:v>
                </c:pt>
                <c:pt idx="30">
                  <c:v>-3.1484104275153562</c:v>
                </c:pt>
                <c:pt idx="31">
                  <c:v>-3.2579049949399885</c:v>
                </c:pt>
                <c:pt idx="32">
                  <c:v>-3.3768831475226424</c:v>
                </c:pt>
                <c:pt idx="33">
                  <c:v>-3.5052350460404123</c:v>
                </c:pt>
                <c:pt idx="34">
                  <c:v>-3.6427934012180039</c:v>
                </c:pt>
                <c:pt idx="35">
                  <c:v>-3.7893472920708833</c:v>
                </c:pt>
                <c:pt idx="36">
                  <c:v>-3.9446546282142925</c:v>
                </c:pt>
                <c:pt idx="37">
                  <c:v>-4.1084529292496388</c:v>
                </c:pt>
                <c:pt idx="38">
                  <c:v>-4.2804683047334251</c:v>
                </c:pt>
                <c:pt idx="39">
                  <c:v>-4.4604226754641703</c:v>
                </c:pt>
                <c:pt idx="40">
                  <c:v>-4.6480393801862796</c:v>
                </c:pt>
                <c:pt idx="41">
                  <c:v>-4.8430473687266318</c:v>
                </c:pt>
                <c:pt idx="42">
                  <c:v>-5.0451842039411661</c:v>
                </c:pt>
                <c:pt idx="43">
                  <c:v>-5.2541980917800348</c:v>
                </c:pt>
                <c:pt idx="44">
                  <c:v>-5.4698491408477139</c:v>
                </c:pt>
                <c:pt idx="45">
                  <c:v>-5.691910027363396</c:v>
                </c:pt>
                <c:pt idx="46">
                  <c:v>-5.9201662135084918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A3-435B-BFB2-4A375F58E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920"/>
        <c:axId val="51667712"/>
      </c:scatterChart>
      <c:valAx>
        <c:axId val="51665920"/>
        <c:scaling>
          <c:orientation val="minMax"/>
        </c:scaling>
        <c:delete val="0"/>
        <c:axPos val="b"/>
        <c:majorGridlines/>
        <c:numFmt formatCode="0" sourceLinked="0"/>
        <c:majorTickMark val="out"/>
        <c:minorTickMark val="none"/>
        <c:tickLblPos val="nextTo"/>
        <c:crossAx val="51667712"/>
        <c:crosses val="autoZero"/>
        <c:crossBetween val="midCat"/>
      </c:valAx>
      <c:valAx>
        <c:axId val="5166771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516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EC!$P$2:$P$264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</c:numCache>
            </c:numRef>
          </c:xVal>
          <c:yVal>
            <c:numRef>
              <c:f>EC!$Q$2:$Q$264</c:f>
              <c:numCache>
                <c:formatCode>General</c:formatCode>
                <c:ptCount val="263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5</c:v>
                </c:pt>
                <c:pt idx="4">
                  <c:v>0</c:v>
                </c:pt>
                <c:pt idx="5">
                  <c:v>9</c:v>
                </c:pt>
                <c:pt idx="6">
                  <c:v>0</c:v>
                </c:pt>
                <c:pt idx="7">
                  <c:v>9</c:v>
                </c:pt>
                <c:pt idx="8">
                  <c:v>3</c:v>
                </c:pt>
                <c:pt idx="9">
                  <c:v>0</c:v>
                </c:pt>
                <c:pt idx="10">
                  <c:v>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D2-420E-8C02-B4DB580DF0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EC!$S$2:$S$264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</c:numCache>
            </c:numRef>
          </c:xVal>
          <c:yVal>
            <c:numRef>
              <c:f>EC!$T$2:$T$264</c:f>
              <c:numCache>
                <c:formatCode>General</c:formatCode>
                <c:ptCount val="263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6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8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D2-420E-8C02-B4DB580DF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88192"/>
        <c:axId val="51689728"/>
      </c:scatterChart>
      <c:valAx>
        <c:axId val="51688192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1689728"/>
        <c:crosses val="autoZero"/>
        <c:crossBetween val="midCat"/>
      </c:valAx>
      <c:valAx>
        <c:axId val="51689728"/>
        <c:scaling>
          <c:orientation val="minMax"/>
          <c:min val="1.0000000000000002E-3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crossAx val="5168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'Finite Fied'!$X$1:$X$270</c:f>
              <c:numCache>
                <c:formatCode>General</c:formatCode>
                <c:ptCount val="270"/>
                <c:pt idx="0">
                  <c:v>5</c:v>
                </c:pt>
                <c:pt idx="1">
                  <c:v>10</c:v>
                </c:pt>
                <c:pt idx="2">
                  <c:v>7</c:v>
                </c:pt>
                <c:pt idx="3">
                  <c:v>3</c:v>
                </c:pt>
                <c:pt idx="4">
                  <c:v>8</c:v>
                </c:pt>
                <c:pt idx="5">
                  <c:v>2</c:v>
                </c:pt>
                <c:pt idx="6">
                  <c:v>2</c:v>
                </c:pt>
                <c:pt idx="7">
                  <c:v>8</c:v>
                </c:pt>
                <c:pt idx="8">
                  <c:v>3</c:v>
                </c:pt>
                <c:pt idx="9">
                  <c:v>7</c:v>
                </c:pt>
                <c:pt idx="10">
                  <c:v>10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xVal>
          <c:yVal>
            <c:numRef>
              <c:f>'Finite Fied'!$Y$1:$Y$270</c:f>
              <c:numCache>
                <c:formatCode>General</c:formatCode>
                <c:ptCount val="270"/>
                <c:pt idx="0">
                  <c:v>9</c:v>
                </c:pt>
                <c:pt idx="1">
                  <c:v>9</c:v>
                </c:pt>
                <c:pt idx="2">
                  <c:v>2</c:v>
                </c:pt>
                <c:pt idx="3">
                  <c:v>6</c:v>
                </c:pt>
                <c:pt idx="4">
                  <c:v>3</c:v>
                </c:pt>
                <c:pt idx="5">
                  <c:v>7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9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B-4579-93A6-4F11F040A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28288"/>
        <c:axId val="51630080"/>
      </c:scatterChart>
      <c:valAx>
        <c:axId val="5162828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51630080"/>
        <c:crosses val="autoZero"/>
        <c:crossBetween val="midCat"/>
      </c:valAx>
      <c:valAx>
        <c:axId val="51630080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2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0"/>
          </c:spPr>
          <c:marker>
            <c:symbol val="circle"/>
            <c:size val="2"/>
          </c:marker>
          <c:xVal>
            <c:numRef>
              <c:f>'Finite Fied'!$X$1:$X$14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7</c:v>
                </c:pt>
                <c:pt idx="3">
                  <c:v>3</c:v>
                </c:pt>
                <c:pt idx="4">
                  <c:v>8</c:v>
                </c:pt>
                <c:pt idx="5">
                  <c:v>2</c:v>
                </c:pt>
                <c:pt idx="6">
                  <c:v>2</c:v>
                </c:pt>
                <c:pt idx="7">
                  <c:v>8</c:v>
                </c:pt>
                <c:pt idx="8">
                  <c:v>3</c:v>
                </c:pt>
                <c:pt idx="9">
                  <c:v>7</c:v>
                </c:pt>
                <c:pt idx="10">
                  <c:v>10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'Finite Fied'!$Y$1:$Y$14</c:f>
              <c:numCache>
                <c:formatCode>General</c:formatCode>
                <c:ptCount val="14"/>
                <c:pt idx="0">
                  <c:v>9</c:v>
                </c:pt>
                <c:pt idx="1">
                  <c:v>9</c:v>
                </c:pt>
                <c:pt idx="2">
                  <c:v>2</c:v>
                </c:pt>
                <c:pt idx="3">
                  <c:v>6</c:v>
                </c:pt>
                <c:pt idx="4">
                  <c:v>3</c:v>
                </c:pt>
                <c:pt idx="5">
                  <c:v>7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9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E-4D91-948A-091C7A4FB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37248"/>
        <c:axId val="52380416"/>
      </c:scatterChart>
      <c:valAx>
        <c:axId val="51637248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2380416"/>
        <c:crosses val="autoZero"/>
        <c:crossBetween val="midCat"/>
      </c:valAx>
      <c:valAx>
        <c:axId val="52380416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3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12</xdr:col>
      <xdr:colOff>685800</xdr:colOff>
      <xdr:row>14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12</xdr:col>
      <xdr:colOff>638175</xdr:colOff>
      <xdr:row>29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0</xdr:rowOff>
    </xdr:from>
    <xdr:to>
      <xdr:col>10</xdr:col>
      <xdr:colOff>323850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10</xdr:col>
      <xdr:colOff>304800</xdr:colOff>
      <xdr:row>29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64"/>
  <sheetViews>
    <sheetView tabSelected="1" zoomScaleNormal="100" workbookViewId="0">
      <selection activeCell="C1" sqref="C1"/>
    </sheetView>
  </sheetViews>
  <sheetFormatPr defaultRowHeight="14.5" x14ac:dyDescent="0.35"/>
  <cols>
    <col min="1" max="1" width="6.26953125" bestFit="1" customWidth="1"/>
    <col min="2" max="2" width="5.36328125" bestFit="1" customWidth="1"/>
    <col min="3" max="3" width="6" bestFit="1" customWidth="1"/>
    <col min="7" max="7" width="5.1796875" customWidth="1"/>
    <col min="8" max="8" width="5.26953125" bestFit="1" customWidth="1"/>
    <col min="9" max="9" width="4.54296875" bestFit="1" customWidth="1"/>
    <col min="10" max="10" width="5.26953125" bestFit="1" customWidth="1"/>
    <col min="11" max="11" width="2.1796875" customWidth="1"/>
    <col min="13" max="13" width="10.453125" customWidth="1"/>
    <col min="14" max="14" width="9.54296875" bestFit="1" customWidth="1"/>
    <col min="15" max="15" width="2.453125" customWidth="1"/>
    <col min="16" max="16" width="3.81640625" bestFit="1" customWidth="1"/>
    <col min="17" max="17" width="7.81640625" bestFit="1" customWidth="1"/>
    <col min="18" max="18" width="2.1796875" customWidth="1"/>
    <col min="19" max="19" width="3.81640625" bestFit="1" customWidth="1"/>
    <col min="20" max="20" width="7.81640625" bestFit="1" customWidth="1"/>
  </cols>
  <sheetData>
    <row r="1" spans="1:22" x14ac:dyDescent="0.35">
      <c r="A1" t="s">
        <v>1</v>
      </c>
      <c r="B1">
        <v>1</v>
      </c>
      <c r="N1" t="s">
        <v>9</v>
      </c>
      <c r="P1" t="s">
        <v>3</v>
      </c>
      <c r="Q1" t="s">
        <v>4</v>
      </c>
      <c r="S1" t="s">
        <v>3</v>
      </c>
      <c r="T1" t="s">
        <v>4</v>
      </c>
      <c r="V1" t="s">
        <v>10</v>
      </c>
    </row>
    <row r="2" spans="1:22" x14ac:dyDescent="0.35">
      <c r="A2" t="s">
        <v>2</v>
      </c>
      <c r="B2">
        <v>6</v>
      </c>
      <c r="N2">
        <f t="shared" ref="N2:N65" si="0">MOD(P2^3+a*P2+b,prime)</f>
        <v>6</v>
      </c>
      <c r="P2">
        <v>0</v>
      </c>
      <c r="Q2" t="e">
        <f t="shared" ref="Q2:Q65" si="1">modular_sqrt(N2,prime)</f>
        <v>#VALUE!</v>
      </c>
      <c r="S2">
        <f>P2</f>
        <v>0</v>
      </c>
      <c r="T2" t="e">
        <f t="shared" ref="T2:T65" si="2">MOD(prime-Q2,prime)/Q2*Q2</f>
        <v>#VALUE!</v>
      </c>
      <c r="V2">
        <f>COUNT(Q2:Q264)+COUNT(T2:T264)+1</f>
        <v>13</v>
      </c>
    </row>
    <row r="3" spans="1:22" x14ac:dyDescent="0.35">
      <c r="A3" t="s">
        <v>0</v>
      </c>
      <c r="B3">
        <v>11</v>
      </c>
      <c r="N3">
        <f t="shared" si="0"/>
        <v>8</v>
      </c>
      <c r="P3">
        <f t="shared" ref="P3:P66" si="3">IF(P2+1&lt;prime,P2+1,NA())</f>
        <v>1</v>
      </c>
      <c r="Q3" t="e">
        <f t="shared" si="1"/>
        <v>#VALUE!</v>
      </c>
      <c r="S3">
        <f t="shared" ref="S3:S66" si="4">P3</f>
        <v>1</v>
      </c>
      <c r="T3" t="e">
        <f t="shared" si="2"/>
        <v>#VALUE!</v>
      </c>
    </row>
    <row r="4" spans="1:22" x14ac:dyDescent="0.35">
      <c r="N4">
        <f t="shared" si="0"/>
        <v>5</v>
      </c>
      <c r="P4">
        <f t="shared" si="3"/>
        <v>2</v>
      </c>
      <c r="Q4">
        <f t="shared" si="1"/>
        <v>7</v>
      </c>
      <c r="S4">
        <f t="shared" si="4"/>
        <v>2</v>
      </c>
      <c r="T4">
        <f t="shared" si="2"/>
        <v>4</v>
      </c>
    </row>
    <row r="5" spans="1:22" x14ac:dyDescent="0.35">
      <c r="A5">
        <v>0.1</v>
      </c>
      <c r="N5">
        <f t="shared" si="0"/>
        <v>3</v>
      </c>
      <c r="P5">
        <f t="shared" si="3"/>
        <v>3</v>
      </c>
      <c r="Q5">
        <f t="shared" si="1"/>
        <v>5</v>
      </c>
      <c r="S5">
        <f t="shared" si="4"/>
        <v>3</v>
      </c>
      <c r="T5">
        <f t="shared" si="2"/>
        <v>6</v>
      </c>
    </row>
    <row r="6" spans="1:22" x14ac:dyDescent="0.35">
      <c r="A6" s="1" t="s">
        <v>3</v>
      </c>
      <c r="B6" s="1" t="s">
        <v>4</v>
      </c>
      <c r="C6" s="3" t="s">
        <v>5</v>
      </c>
      <c r="N6">
        <f t="shared" si="0"/>
        <v>8</v>
      </c>
      <c r="P6">
        <f t="shared" si="3"/>
        <v>4</v>
      </c>
      <c r="Q6" t="e">
        <f t="shared" si="1"/>
        <v>#VALUE!</v>
      </c>
      <c r="S6">
        <f t="shared" si="4"/>
        <v>4</v>
      </c>
      <c r="T6" t="e">
        <f t="shared" si="2"/>
        <v>#VALUE!</v>
      </c>
    </row>
    <row r="7" spans="1:22" x14ac:dyDescent="0.35">
      <c r="A7" s="2">
        <v>-1.6343650000000001</v>
      </c>
      <c r="B7" s="2">
        <f t="shared" ref="B7:B53" si="5">SQRT(A7*A7*A7+a*A7+b)</f>
        <v>1.6251345858398754E-3</v>
      </c>
      <c r="C7" s="2">
        <f>-B7</f>
        <v>-1.6251345858398754E-3</v>
      </c>
      <c r="N7">
        <f t="shared" si="0"/>
        <v>4</v>
      </c>
      <c r="P7">
        <f t="shared" si="3"/>
        <v>5</v>
      </c>
      <c r="Q7">
        <f t="shared" si="1"/>
        <v>9</v>
      </c>
      <c r="S7">
        <f t="shared" si="4"/>
        <v>5</v>
      </c>
      <c r="T7">
        <f t="shared" si="2"/>
        <v>2</v>
      </c>
    </row>
    <row r="8" spans="1:22" x14ac:dyDescent="0.35">
      <c r="A8" s="2">
        <f t="shared" ref="A8:A53" si="6">A7+$A$5</f>
        <v>-1.534365</v>
      </c>
      <c r="B8" s="2">
        <f t="shared" si="5"/>
        <v>0.9237512527893661</v>
      </c>
      <c r="C8" s="2">
        <f t="shared" ref="C8:C53" si="7">-B8</f>
        <v>-0.9237512527893661</v>
      </c>
      <c r="N8">
        <f t="shared" si="0"/>
        <v>8</v>
      </c>
      <c r="P8">
        <f t="shared" si="3"/>
        <v>6</v>
      </c>
      <c r="Q8" t="e">
        <f t="shared" si="1"/>
        <v>#VALUE!</v>
      </c>
      <c r="S8">
        <f t="shared" si="4"/>
        <v>6</v>
      </c>
      <c r="T8" t="e">
        <f t="shared" si="2"/>
        <v>#VALUE!</v>
      </c>
    </row>
    <row r="9" spans="1:22" x14ac:dyDescent="0.35">
      <c r="A9" s="2">
        <f t="shared" si="6"/>
        <v>-1.4343649999999999</v>
      </c>
      <c r="B9" s="2">
        <f t="shared" si="5"/>
        <v>1.2706566070333178</v>
      </c>
      <c r="C9" s="2">
        <f t="shared" si="7"/>
        <v>-1.2706566070333178</v>
      </c>
      <c r="N9">
        <f t="shared" si="0"/>
        <v>4</v>
      </c>
      <c r="P9">
        <f t="shared" si="3"/>
        <v>7</v>
      </c>
      <c r="Q9">
        <f t="shared" si="1"/>
        <v>9</v>
      </c>
      <c r="S9">
        <f t="shared" si="4"/>
        <v>7</v>
      </c>
      <c r="T9">
        <f t="shared" si="2"/>
        <v>2</v>
      </c>
    </row>
    <row r="10" spans="1:22" x14ac:dyDescent="0.35">
      <c r="A10" s="2">
        <f t="shared" si="6"/>
        <v>-1.3343649999999998</v>
      </c>
      <c r="B10" s="2">
        <f t="shared" si="5"/>
        <v>1.51319468310093</v>
      </c>
      <c r="C10" s="2">
        <f t="shared" si="7"/>
        <v>-1.51319468310093</v>
      </c>
      <c r="N10">
        <f t="shared" si="0"/>
        <v>9</v>
      </c>
      <c r="P10">
        <f t="shared" si="3"/>
        <v>8</v>
      </c>
      <c r="Q10">
        <f t="shared" si="1"/>
        <v>3</v>
      </c>
      <c r="S10">
        <f t="shared" si="4"/>
        <v>8</v>
      </c>
      <c r="T10">
        <f t="shared" si="2"/>
        <v>8</v>
      </c>
    </row>
    <row r="11" spans="1:22" x14ac:dyDescent="0.35">
      <c r="A11" s="2">
        <f t="shared" si="6"/>
        <v>-1.2343649999999997</v>
      </c>
      <c r="B11" s="2">
        <f t="shared" si="5"/>
        <v>1.6984952708007239</v>
      </c>
      <c r="C11" s="2">
        <f t="shared" si="7"/>
        <v>-1.6984952708007239</v>
      </c>
      <c r="N11">
        <f t="shared" si="0"/>
        <v>7</v>
      </c>
      <c r="P11">
        <f t="shared" si="3"/>
        <v>9</v>
      </c>
      <c r="Q11" t="e">
        <f t="shared" si="1"/>
        <v>#VALUE!</v>
      </c>
      <c r="S11">
        <f t="shared" si="4"/>
        <v>9</v>
      </c>
      <c r="T11" t="e">
        <f t="shared" si="2"/>
        <v>#VALUE!</v>
      </c>
    </row>
    <row r="12" spans="1:22" x14ac:dyDescent="0.35">
      <c r="A12" s="2">
        <f t="shared" si="6"/>
        <v>-1.1343649999999996</v>
      </c>
      <c r="B12" s="2">
        <f t="shared" si="5"/>
        <v>1.845522235276488</v>
      </c>
      <c r="C12" s="2">
        <f t="shared" si="7"/>
        <v>-1.845522235276488</v>
      </c>
      <c r="N12">
        <f t="shared" si="0"/>
        <v>4</v>
      </c>
      <c r="P12">
        <f t="shared" si="3"/>
        <v>10</v>
      </c>
      <c r="Q12">
        <f t="shared" si="1"/>
        <v>9</v>
      </c>
      <c r="S12">
        <f t="shared" si="4"/>
        <v>10</v>
      </c>
      <c r="T12">
        <f t="shared" si="2"/>
        <v>2</v>
      </c>
    </row>
    <row r="13" spans="1:22" x14ac:dyDescent="0.35">
      <c r="A13" s="2">
        <f t="shared" si="6"/>
        <v>-1.0343649999999995</v>
      </c>
      <c r="B13" s="2">
        <f t="shared" si="5"/>
        <v>1.9644227032050472</v>
      </c>
      <c r="C13" s="2">
        <f t="shared" si="7"/>
        <v>-1.9644227032050472</v>
      </c>
      <c r="N13" t="e">
        <f t="shared" si="0"/>
        <v>#N/A</v>
      </c>
      <c r="P13" t="e">
        <f t="shared" si="3"/>
        <v>#N/A</v>
      </c>
      <c r="Q13" t="e">
        <f t="shared" si="1"/>
        <v>#VALUE!</v>
      </c>
      <c r="S13" t="e">
        <f t="shared" si="4"/>
        <v>#N/A</v>
      </c>
      <c r="T13" t="e">
        <f t="shared" si="2"/>
        <v>#VALUE!</v>
      </c>
    </row>
    <row r="14" spans="1:22" x14ac:dyDescent="0.35">
      <c r="A14" s="2">
        <f t="shared" si="6"/>
        <v>-0.93436499999999956</v>
      </c>
      <c r="B14" s="2">
        <f t="shared" si="5"/>
        <v>2.0615282905735066</v>
      </c>
      <c r="C14" s="2">
        <f t="shared" si="7"/>
        <v>-2.0615282905735066</v>
      </c>
      <c r="N14" t="e">
        <f t="shared" si="0"/>
        <v>#N/A</v>
      </c>
      <c r="P14" t="e">
        <f t="shared" si="3"/>
        <v>#N/A</v>
      </c>
      <c r="Q14" t="e">
        <f t="shared" si="1"/>
        <v>#VALUE!</v>
      </c>
      <c r="S14" t="e">
        <f t="shared" si="4"/>
        <v>#N/A</v>
      </c>
      <c r="T14" t="e">
        <f t="shared" si="2"/>
        <v>#VALUE!</v>
      </c>
    </row>
    <row r="15" spans="1:22" x14ac:dyDescent="0.35">
      <c r="A15" s="2">
        <f t="shared" si="6"/>
        <v>-0.83436499999999958</v>
      </c>
      <c r="B15" s="2">
        <f t="shared" si="5"/>
        <v>2.1412097815960083</v>
      </c>
      <c r="C15" s="2">
        <f t="shared" si="7"/>
        <v>-2.1412097815960083</v>
      </c>
      <c r="N15" t="e">
        <f t="shared" si="0"/>
        <v>#N/A</v>
      </c>
      <c r="P15" t="e">
        <f t="shared" si="3"/>
        <v>#N/A</v>
      </c>
      <c r="Q15" t="e">
        <f t="shared" si="1"/>
        <v>#VALUE!</v>
      </c>
      <c r="S15" t="e">
        <f t="shared" si="4"/>
        <v>#N/A</v>
      </c>
      <c r="T15" t="e">
        <f t="shared" si="2"/>
        <v>#VALUE!</v>
      </c>
    </row>
    <row r="16" spans="1:22" x14ac:dyDescent="0.35">
      <c r="A16" s="2">
        <f t="shared" si="6"/>
        <v>-0.7343649999999996</v>
      </c>
      <c r="B16" s="2">
        <f t="shared" si="5"/>
        <v>2.2067165347569957</v>
      </c>
      <c r="C16" s="2">
        <f t="shared" si="7"/>
        <v>-2.2067165347569957</v>
      </c>
      <c r="N16" t="e">
        <f t="shared" si="0"/>
        <v>#N/A</v>
      </c>
      <c r="P16" t="e">
        <f t="shared" si="3"/>
        <v>#N/A</v>
      </c>
      <c r="Q16" t="e">
        <f t="shared" si="1"/>
        <v>#VALUE!</v>
      </c>
      <c r="S16" t="e">
        <f t="shared" si="4"/>
        <v>#N/A</v>
      </c>
      <c r="T16" t="e">
        <f t="shared" si="2"/>
        <v>#VALUE!</v>
      </c>
    </row>
    <row r="17" spans="1:20" x14ac:dyDescent="0.35">
      <c r="A17" s="2">
        <f t="shared" si="6"/>
        <v>-0.63436499999999962</v>
      </c>
      <c r="B17" s="2">
        <f t="shared" si="5"/>
        <v>2.26060932067826</v>
      </c>
      <c r="C17" s="2">
        <f t="shared" si="7"/>
        <v>-2.26060932067826</v>
      </c>
      <c r="N17" t="e">
        <f t="shared" si="0"/>
        <v>#N/A</v>
      </c>
      <c r="P17" t="e">
        <f t="shared" si="3"/>
        <v>#N/A</v>
      </c>
      <c r="Q17" t="e">
        <f t="shared" si="1"/>
        <v>#VALUE!</v>
      </c>
      <c r="S17" t="e">
        <f t="shared" si="4"/>
        <v>#N/A</v>
      </c>
      <c r="T17" t="e">
        <f t="shared" si="2"/>
        <v>#VALUE!</v>
      </c>
    </row>
    <row r="18" spans="1:20" x14ac:dyDescent="0.35">
      <c r="A18" s="2">
        <f t="shared" si="6"/>
        <v>-0.53436499999999965</v>
      </c>
      <c r="B18" s="2">
        <f t="shared" si="5"/>
        <v>2.3050052574137272</v>
      </c>
      <c r="C18" s="2">
        <f t="shared" si="7"/>
        <v>-2.3050052574137272</v>
      </c>
      <c r="N18" t="e">
        <f t="shared" si="0"/>
        <v>#N/A</v>
      </c>
      <c r="P18" t="e">
        <f t="shared" si="3"/>
        <v>#N/A</v>
      </c>
      <c r="Q18" t="e">
        <f t="shared" si="1"/>
        <v>#VALUE!</v>
      </c>
      <c r="S18" t="e">
        <f t="shared" si="4"/>
        <v>#N/A</v>
      </c>
      <c r="T18" t="e">
        <f t="shared" si="2"/>
        <v>#VALUE!</v>
      </c>
    </row>
    <row r="19" spans="1:20" x14ac:dyDescent="0.35">
      <c r="A19" s="2">
        <f t="shared" si="6"/>
        <v>-0.43436499999999967</v>
      </c>
      <c r="B19" s="2">
        <f t="shared" si="5"/>
        <v>2.341726301827868</v>
      </c>
      <c r="C19" s="2">
        <f t="shared" si="7"/>
        <v>-2.341726301827868</v>
      </c>
      <c r="N19" t="e">
        <f t="shared" si="0"/>
        <v>#N/A</v>
      </c>
      <c r="P19" t="e">
        <f t="shared" si="3"/>
        <v>#N/A</v>
      </c>
      <c r="Q19" t="e">
        <f t="shared" si="1"/>
        <v>#VALUE!</v>
      </c>
      <c r="S19" t="e">
        <f t="shared" si="4"/>
        <v>#N/A</v>
      </c>
      <c r="T19" t="e">
        <f t="shared" si="2"/>
        <v>#VALUE!</v>
      </c>
    </row>
    <row r="20" spans="1:20" x14ac:dyDescent="0.35">
      <c r="A20" s="2">
        <f t="shared" si="6"/>
        <v>-0.33436499999999969</v>
      </c>
      <c r="B20" s="2">
        <f t="shared" si="5"/>
        <v>2.3723939404407361</v>
      </c>
      <c r="C20" s="2">
        <f t="shared" si="7"/>
        <v>-2.3723939404407361</v>
      </c>
      <c r="N20" t="e">
        <f t="shared" si="0"/>
        <v>#N/A</v>
      </c>
      <c r="P20" t="e">
        <f t="shared" si="3"/>
        <v>#N/A</v>
      </c>
      <c r="Q20" t="e">
        <f t="shared" si="1"/>
        <v>#VALUE!</v>
      </c>
      <c r="S20" t="e">
        <f t="shared" si="4"/>
        <v>#N/A</v>
      </c>
      <c r="T20" t="e">
        <f t="shared" si="2"/>
        <v>#VALUE!</v>
      </c>
    </row>
    <row r="21" spans="1:20" x14ac:dyDescent="0.35">
      <c r="A21" s="2">
        <f t="shared" si="6"/>
        <v>-0.23436499999999968</v>
      </c>
      <c r="B21" s="2">
        <f t="shared" si="5"/>
        <v>2.3984916186235514</v>
      </c>
      <c r="C21" s="2">
        <f t="shared" si="7"/>
        <v>-2.3984916186235514</v>
      </c>
      <c r="N21" t="e">
        <f t="shared" si="0"/>
        <v>#N/A</v>
      </c>
      <c r="P21" t="e">
        <f t="shared" si="3"/>
        <v>#N/A</v>
      </c>
      <c r="Q21" t="e">
        <f t="shared" si="1"/>
        <v>#VALUE!</v>
      </c>
      <c r="S21" t="e">
        <f t="shared" si="4"/>
        <v>#N/A</v>
      </c>
      <c r="T21" t="e">
        <f t="shared" si="2"/>
        <v>#VALUE!</v>
      </c>
    </row>
    <row r="22" spans="1:20" x14ac:dyDescent="0.35">
      <c r="A22" s="2">
        <f t="shared" si="6"/>
        <v>-0.13436499999999968</v>
      </c>
      <c r="B22" s="2">
        <f t="shared" si="5"/>
        <v>2.4214064467938718</v>
      </c>
      <c r="C22" s="2">
        <f t="shared" si="7"/>
        <v>-2.4214064467938718</v>
      </c>
      <c r="N22" t="e">
        <f t="shared" si="0"/>
        <v>#N/A</v>
      </c>
      <c r="P22" t="e">
        <f t="shared" si="3"/>
        <v>#N/A</v>
      </c>
      <c r="Q22" t="e">
        <f t="shared" si="1"/>
        <v>#VALUE!</v>
      </c>
      <c r="S22" t="e">
        <f t="shared" si="4"/>
        <v>#N/A</v>
      </c>
      <c r="T22" t="e">
        <f t="shared" si="2"/>
        <v>#VALUE!</v>
      </c>
    </row>
    <row r="23" spans="1:20" x14ac:dyDescent="0.35">
      <c r="A23" s="2">
        <f t="shared" si="6"/>
        <v>-3.4364999999999674E-2</v>
      </c>
      <c r="B23" s="2">
        <f t="shared" si="5"/>
        <v>2.4424566355500406</v>
      </c>
      <c r="C23" s="2">
        <f t="shared" si="7"/>
        <v>-2.4424566355500406</v>
      </c>
      <c r="N23" t="e">
        <f t="shared" si="0"/>
        <v>#N/A</v>
      </c>
      <c r="P23" t="e">
        <f t="shared" si="3"/>
        <v>#N/A</v>
      </c>
      <c r="Q23" t="e">
        <f t="shared" si="1"/>
        <v>#VALUE!</v>
      </c>
      <c r="S23" t="e">
        <f t="shared" si="4"/>
        <v>#N/A</v>
      </c>
      <c r="T23" t="e">
        <f t="shared" si="2"/>
        <v>#VALUE!</v>
      </c>
    </row>
    <row r="24" spans="1:20" x14ac:dyDescent="0.35">
      <c r="A24" s="2">
        <f t="shared" si="6"/>
        <v>6.5635000000000332E-2</v>
      </c>
      <c r="B24" s="2">
        <f t="shared" si="5"/>
        <v>2.4629083930406188</v>
      </c>
      <c r="C24" s="2">
        <f t="shared" si="7"/>
        <v>-2.4629083930406188</v>
      </c>
      <c r="N24" t="e">
        <f t="shared" si="0"/>
        <v>#N/A</v>
      </c>
      <c r="P24" t="e">
        <f t="shared" si="3"/>
        <v>#N/A</v>
      </c>
      <c r="Q24" t="e">
        <f t="shared" si="1"/>
        <v>#VALUE!</v>
      </c>
      <c r="S24" t="e">
        <f t="shared" si="4"/>
        <v>#N/A</v>
      </c>
      <c r="T24" t="e">
        <f t="shared" si="2"/>
        <v>#VALUE!</v>
      </c>
    </row>
    <row r="25" spans="1:20" x14ac:dyDescent="0.35">
      <c r="A25" s="2">
        <f t="shared" si="6"/>
        <v>0.16563500000000034</v>
      </c>
      <c r="B25" s="2">
        <f t="shared" si="5"/>
        <v>2.4839845386953243</v>
      </c>
      <c r="C25" s="2">
        <f t="shared" si="7"/>
        <v>-2.4839845386953243</v>
      </c>
      <c r="N25" t="e">
        <f t="shared" si="0"/>
        <v>#N/A</v>
      </c>
      <c r="P25" t="e">
        <f t="shared" si="3"/>
        <v>#N/A</v>
      </c>
      <c r="Q25" t="e">
        <f t="shared" si="1"/>
        <v>#VALUE!</v>
      </c>
      <c r="S25" t="e">
        <f t="shared" si="4"/>
        <v>#N/A</v>
      </c>
      <c r="T25" t="e">
        <f t="shared" si="2"/>
        <v>#VALUE!</v>
      </c>
    </row>
    <row r="26" spans="1:20" x14ac:dyDescent="0.35">
      <c r="A26" s="2">
        <f t="shared" si="6"/>
        <v>0.26563500000000034</v>
      </c>
      <c r="B26" s="2">
        <f t="shared" si="5"/>
        <v>2.5068663156309161</v>
      </c>
      <c r="C26" s="2">
        <f t="shared" si="7"/>
        <v>-2.5068663156309161</v>
      </c>
      <c r="N26" t="e">
        <f t="shared" si="0"/>
        <v>#N/A</v>
      </c>
      <c r="P26" t="e">
        <f t="shared" si="3"/>
        <v>#N/A</v>
      </c>
      <c r="Q26" t="e">
        <f t="shared" si="1"/>
        <v>#VALUE!</v>
      </c>
      <c r="S26" t="e">
        <f t="shared" si="4"/>
        <v>#N/A</v>
      </c>
      <c r="T26" t="e">
        <f t="shared" si="2"/>
        <v>#VALUE!</v>
      </c>
    </row>
    <row r="27" spans="1:20" x14ac:dyDescent="0.35">
      <c r="A27" s="2">
        <f t="shared" si="6"/>
        <v>0.36563500000000038</v>
      </c>
      <c r="B27" s="2">
        <f t="shared" si="5"/>
        <v>2.5326895507370071</v>
      </c>
      <c r="C27" s="2">
        <f t="shared" si="7"/>
        <v>-2.5326895507370071</v>
      </c>
      <c r="N27" t="e">
        <f t="shared" si="0"/>
        <v>#N/A</v>
      </c>
      <c r="P27" t="e">
        <f t="shared" si="3"/>
        <v>#N/A</v>
      </c>
      <c r="Q27" t="e">
        <f t="shared" si="1"/>
        <v>#VALUE!</v>
      </c>
      <c r="S27" t="e">
        <f t="shared" si="4"/>
        <v>#N/A</v>
      </c>
      <c r="T27" t="e">
        <f t="shared" si="2"/>
        <v>#VALUE!</v>
      </c>
    </row>
    <row r="28" spans="1:20" x14ac:dyDescent="0.35">
      <c r="A28" s="2">
        <f t="shared" si="6"/>
        <v>0.46563500000000035</v>
      </c>
      <c r="B28" s="2">
        <f t="shared" si="5"/>
        <v>2.5625362624516992</v>
      </c>
      <c r="C28" s="2">
        <f t="shared" si="7"/>
        <v>-2.5625362624516992</v>
      </c>
      <c r="N28" t="e">
        <f t="shared" si="0"/>
        <v>#N/A</v>
      </c>
      <c r="P28" t="e">
        <f t="shared" si="3"/>
        <v>#N/A</v>
      </c>
      <c r="Q28" t="e">
        <f t="shared" si="1"/>
        <v>#VALUE!</v>
      </c>
      <c r="S28" t="e">
        <f t="shared" si="4"/>
        <v>#N/A</v>
      </c>
      <c r="T28" t="e">
        <f t="shared" si="2"/>
        <v>#VALUE!</v>
      </c>
    </row>
    <row r="29" spans="1:20" x14ac:dyDescent="0.35">
      <c r="A29" s="2">
        <f t="shared" si="6"/>
        <v>0.56563500000000033</v>
      </c>
      <c r="B29" s="2">
        <f t="shared" si="5"/>
        <v>2.5974229405985123</v>
      </c>
      <c r="C29" s="2">
        <f t="shared" si="7"/>
        <v>-2.5974229405985123</v>
      </c>
      <c r="N29" t="e">
        <f t="shared" si="0"/>
        <v>#N/A</v>
      </c>
      <c r="P29" t="e">
        <f t="shared" si="3"/>
        <v>#N/A</v>
      </c>
      <c r="Q29" t="e">
        <f t="shared" si="1"/>
        <v>#VALUE!</v>
      </c>
      <c r="S29" t="e">
        <f t="shared" si="4"/>
        <v>#N/A</v>
      </c>
      <c r="T29" t="e">
        <f t="shared" si="2"/>
        <v>#VALUE!</v>
      </c>
    </row>
    <row r="30" spans="1:20" x14ac:dyDescent="0.35">
      <c r="A30" s="2">
        <f t="shared" si="6"/>
        <v>0.66563500000000031</v>
      </c>
      <c r="B30" s="2">
        <f t="shared" si="5"/>
        <v>2.6382869192555467</v>
      </c>
      <c r="C30" s="2">
        <f t="shared" si="7"/>
        <v>-2.6382869192555467</v>
      </c>
      <c r="N30" t="e">
        <f t="shared" si="0"/>
        <v>#N/A</v>
      </c>
      <c r="P30" t="e">
        <f t="shared" si="3"/>
        <v>#N/A</v>
      </c>
      <c r="Q30" t="e">
        <f t="shared" si="1"/>
        <v>#VALUE!</v>
      </c>
      <c r="S30" t="e">
        <f t="shared" si="4"/>
        <v>#N/A</v>
      </c>
      <c r="T30" t="e">
        <f t="shared" si="2"/>
        <v>#VALUE!</v>
      </c>
    </row>
    <row r="31" spans="1:20" x14ac:dyDescent="0.35">
      <c r="A31" s="2">
        <f t="shared" si="6"/>
        <v>0.76563500000000029</v>
      </c>
      <c r="B31" s="2">
        <f t="shared" si="5"/>
        <v>2.6859724317800477</v>
      </c>
      <c r="C31" s="2">
        <f t="shared" si="7"/>
        <v>-2.6859724317800477</v>
      </c>
      <c r="N31" t="e">
        <f t="shared" si="0"/>
        <v>#N/A</v>
      </c>
      <c r="P31" t="e">
        <f t="shared" si="3"/>
        <v>#N/A</v>
      </c>
      <c r="Q31" t="e">
        <f t="shared" si="1"/>
        <v>#VALUE!</v>
      </c>
      <c r="S31" t="e">
        <f t="shared" si="4"/>
        <v>#N/A</v>
      </c>
      <c r="T31" t="e">
        <f t="shared" si="2"/>
        <v>#VALUE!</v>
      </c>
    </row>
    <row r="32" spans="1:20" x14ac:dyDescent="0.35">
      <c r="A32" s="2">
        <f t="shared" si="6"/>
        <v>0.86563500000000027</v>
      </c>
      <c r="B32" s="2">
        <f t="shared" si="5"/>
        <v>2.7412179848107527</v>
      </c>
      <c r="C32" s="2">
        <f t="shared" si="7"/>
        <v>-2.7412179848107527</v>
      </c>
      <c r="N32" t="e">
        <f t="shared" si="0"/>
        <v>#N/A</v>
      </c>
      <c r="P32" t="e">
        <f t="shared" si="3"/>
        <v>#N/A</v>
      </c>
      <c r="Q32" t="e">
        <f t="shared" si="1"/>
        <v>#VALUE!</v>
      </c>
      <c r="S32" t="e">
        <f t="shared" si="4"/>
        <v>#N/A</v>
      </c>
      <c r="T32" t="e">
        <f t="shared" si="2"/>
        <v>#VALUE!</v>
      </c>
    </row>
    <row r="33" spans="1:20" x14ac:dyDescent="0.35">
      <c r="A33" s="2">
        <f t="shared" si="6"/>
        <v>0.96563500000000024</v>
      </c>
      <c r="B33" s="2">
        <f t="shared" si="5"/>
        <v>2.8046465510323086</v>
      </c>
      <c r="C33" s="2">
        <f t="shared" si="7"/>
        <v>-2.8046465510323086</v>
      </c>
      <c r="N33" t="e">
        <f t="shared" si="0"/>
        <v>#N/A</v>
      </c>
      <c r="P33" t="e">
        <f t="shared" si="3"/>
        <v>#N/A</v>
      </c>
      <c r="Q33" t="e">
        <f t="shared" si="1"/>
        <v>#VALUE!</v>
      </c>
      <c r="S33" t="e">
        <f t="shared" si="4"/>
        <v>#N/A</v>
      </c>
      <c r="T33" t="e">
        <f t="shared" si="2"/>
        <v>#VALUE!</v>
      </c>
    </row>
    <row r="34" spans="1:20" x14ac:dyDescent="0.35">
      <c r="A34" s="2">
        <f t="shared" si="6"/>
        <v>1.0656350000000003</v>
      </c>
      <c r="B34" s="2">
        <f t="shared" si="5"/>
        <v>2.87675974182498</v>
      </c>
      <c r="C34" s="2">
        <f t="shared" si="7"/>
        <v>-2.87675974182498</v>
      </c>
      <c r="N34" t="e">
        <f t="shared" si="0"/>
        <v>#N/A</v>
      </c>
      <c r="P34" t="e">
        <f t="shared" si="3"/>
        <v>#N/A</v>
      </c>
      <c r="Q34" t="e">
        <f t="shared" si="1"/>
        <v>#VALUE!</v>
      </c>
      <c r="S34" t="e">
        <f t="shared" si="4"/>
        <v>#N/A</v>
      </c>
      <c r="T34" t="e">
        <f t="shared" si="2"/>
        <v>#VALUE!</v>
      </c>
    </row>
    <row r="35" spans="1:20" x14ac:dyDescent="0.35">
      <c r="A35" s="2">
        <f t="shared" si="6"/>
        <v>1.1656350000000004</v>
      </c>
      <c r="B35" s="2">
        <f t="shared" si="5"/>
        <v>2.9579366200364108</v>
      </c>
      <c r="C35" s="2">
        <f t="shared" si="7"/>
        <v>-2.9579366200364108</v>
      </c>
      <c r="N35" t="e">
        <f t="shared" si="0"/>
        <v>#N/A</v>
      </c>
      <c r="P35" t="e">
        <f t="shared" si="3"/>
        <v>#N/A</v>
      </c>
      <c r="Q35" t="e">
        <f t="shared" si="1"/>
        <v>#VALUE!</v>
      </c>
      <c r="S35" t="e">
        <f t="shared" si="4"/>
        <v>#N/A</v>
      </c>
      <c r="T35" t="e">
        <f t="shared" si="2"/>
        <v>#VALUE!</v>
      </c>
    </row>
    <row r="36" spans="1:20" x14ac:dyDescent="0.35">
      <c r="A36" s="2">
        <f t="shared" si="6"/>
        <v>1.2656350000000005</v>
      </c>
      <c r="B36" s="2">
        <f t="shared" si="5"/>
        <v>3.0484372363753738</v>
      </c>
      <c r="C36" s="2">
        <f t="shared" si="7"/>
        <v>-3.0484372363753738</v>
      </c>
      <c r="N36" t="e">
        <f t="shared" si="0"/>
        <v>#N/A</v>
      </c>
      <c r="P36" t="e">
        <f t="shared" si="3"/>
        <v>#N/A</v>
      </c>
      <c r="Q36" t="e">
        <f t="shared" si="1"/>
        <v>#VALUE!</v>
      </c>
      <c r="S36" t="e">
        <f t="shared" si="4"/>
        <v>#N/A</v>
      </c>
      <c r="T36" t="e">
        <f t="shared" si="2"/>
        <v>#VALUE!</v>
      </c>
    </row>
    <row r="37" spans="1:20" x14ac:dyDescent="0.35">
      <c r="A37" s="2">
        <f t="shared" si="6"/>
        <v>1.3656350000000006</v>
      </c>
      <c r="B37" s="2">
        <f t="shared" si="5"/>
        <v>3.1484104275153562</v>
      </c>
      <c r="C37" s="2">
        <f t="shared" si="7"/>
        <v>-3.1484104275153562</v>
      </c>
      <c r="N37" t="e">
        <f t="shared" si="0"/>
        <v>#N/A</v>
      </c>
      <c r="P37" t="e">
        <f t="shared" si="3"/>
        <v>#N/A</v>
      </c>
      <c r="Q37" t="e">
        <f t="shared" si="1"/>
        <v>#VALUE!</v>
      </c>
      <c r="S37" t="e">
        <f t="shared" si="4"/>
        <v>#N/A</v>
      </c>
      <c r="T37" t="e">
        <f t="shared" si="2"/>
        <v>#VALUE!</v>
      </c>
    </row>
    <row r="38" spans="1:20" x14ac:dyDescent="0.35">
      <c r="A38" s="2">
        <f t="shared" si="6"/>
        <v>1.4656350000000007</v>
      </c>
      <c r="B38" s="2">
        <f t="shared" si="5"/>
        <v>3.2579049949399885</v>
      </c>
      <c r="C38" s="2">
        <f t="shared" si="7"/>
        <v>-3.2579049949399885</v>
      </c>
      <c r="N38" t="e">
        <f t="shared" si="0"/>
        <v>#N/A</v>
      </c>
      <c r="P38" t="e">
        <f t="shared" si="3"/>
        <v>#N/A</v>
      </c>
      <c r="Q38" t="e">
        <f t="shared" si="1"/>
        <v>#VALUE!</v>
      </c>
      <c r="S38" t="e">
        <f t="shared" si="4"/>
        <v>#N/A</v>
      </c>
      <c r="T38" t="e">
        <f t="shared" si="2"/>
        <v>#VALUE!</v>
      </c>
    </row>
    <row r="39" spans="1:20" x14ac:dyDescent="0.35">
      <c r="A39" s="2">
        <f t="shared" si="6"/>
        <v>1.5656350000000008</v>
      </c>
      <c r="B39" s="2">
        <f t="shared" si="5"/>
        <v>3.3768831475226424</v>
      </c>
      <c r="C39" s="2">
        <f t="shared" si="7"/>
        <v>-3.3768831475226424</v>
      </c>
      <c r="N39" t="e">
        <f t="shared" si="0"/>
        <v>#N/A</v>
      </c>
      <c r="P39" t="e">
        <f t="shared" si="3"/>
        <v>#N/A</v>
      </c>
      <c r="Q39" t="e">
        <f t="shared" si="1"/>
        <v>#VALUE!</v>
      </c>
      <c r="S39" t="e">
        <f t="shared" si="4"/>
        <v>#N/A</v>
      </c>
      <c r="T39" t="e">
        <f t="shared" si="2"/>
        <v>#VALUE!</v>
      </c>
    </row>
    <row r="40" spans="1:20" x14ac:dyDescent="0.35">
      <c r="A40" s="2">
        <f t="shared" si="6"/>
        <v>1.6656350000000009</v>
      </c>
      <c r="B40" s="2">
        <f t="shared" ref="B40:B50" si="8">SQRT(A40*A40*A40+a*A40+b)</f>
        <v>3.5052350460404123</v>
      </c>
      <c r="C40" s="2">
        <f t="shared" ref="C40:C50" si="9">-B40</f>
        <v>-3.5052350460404123</v>
      </c>
      <c r="N40" t="e">
        <f t="shared" si="0"/>
        <v>#N/A</v>
      </c>
      <c r="P40" t="e">
        <f t="shared" si="3"/>
        <v>#N/A</v>
      </c>
      <c r="Q40" t="e">
        <f t="shared" si="1"/>
        <v>#VALUE!</v>
      </c>
      <c r="S40" t="e">
        <f t="shared" si="4"/>
        <v>#N/A</v>
      </c>
      <c r="T40" t="e">
        <f t="shared" si="2"/>
        <v>#VALUE!</v>
      </c>
    </row>
    <row r="41" spans="1:20" x14ac:dyDescent="0.35">
      <c r="A41" s="2">
        <f t="shared" si="6"/>
        <v>1.765635000000001</v>
      </c>
      <c r="B41" s="2">
        <f t="shared" si="8"/>
        <v>3.6427934012180039</v>
      </c>
      <c r="C41" s="2">
        <f t="shared" si="9"/>
        <v>-3.6427934012180039</v>
      </c>
      <c r="N41" t="e">
        <f t="shared" si="0"/>
        <v>#N/A</v>
      </c>
      <c r="P41" t="e">
        <f t="shared" si="3"/>
        <v>#N/A</v>
      </c>
      <c r="Q41" t="e">
        <f t="shared" si="1"/>
        <v>#VALUE!</v>
      </c>
      <c r="S41" t="e">
        <f t="shared" si="4"/>
        <v>#N/A</v>
      </c>
      <c r="T41" t="e">
        <f t="shared" si="2"/>
        <v>#VALUE!</v>
      </c>
    </row>
    <row r="42" spans="1:20" x14ac:dyDescent="0.35">
      <c r="A42" s="2">
        <f t="shared" si="6"/>
        <v>1.865635000000001</v>
      </c>
      <c r="B42" s="2">
        <f t="shared" si="8"/>
        <v>3.7893472920708833</v>
      </c>
      <c r="C42" s="2">
        <f t="shared" si="9"/>
        <v>-3.7893472920708833</v>
      </c>
      <c r="N42" t="e">
        <f t="shared" si="0"/>
        <v>#N/A</v>
      </c>
      <c r="P42" t="e">
        <f t="shared" si="3"/>
        <v>#N/A</v>
      </c>
      <c r="Q42" t="e">
        <f t="shared" si="1"/>
        <v>#VALUE!</v>
      </c>
      <c r="S42" t="e">
        <f t="shared" si="4"/>
        <v>#N/A</v>
      </c>
      <c r="T42" t="e">
        <f t="shared" si="2"/>
        <v>#VALUE!</v>
      </c>
    </row>
    <row r="43" spans="1:20" x14ac:dyDescent="0.35">
      <c r="A43" s="2">
        <f t="shared" si="6"/>
        <v>1.9656350000000011</v>
      </c>
      <c r="B43" s="2">
        <f t="shared" si="8"/>
        <v>3.9446546282142925</v>
      </c>
      <c r="C43" s="2">
        <f t="shared" si="9"/>
        <v>-3.9446546282142925</v>
      </c>
      <c r="N43" t="e">
        <f t="shared" si="0"/>
        <v>#N/A</v>
      </c>
      <c r="P43" t="e">
        <f t="shared" si="3"/>
        <v>#N/A</v>
      </c>
      <c r="Q43" t="e">
        <f t="shared" si="1"/>
        <v>#VALUE!</v>
      </c>
      <c r="S43" t="e">
        <f t="shared" si="4"/>
        <v>#N/A</v>
      </c>
      <c r="T43" t="e">
        <f t="shared" si="2"/>
        <v>#VALUE!</v>
      </c>
    </row>
    <row r="44" spans="1:20" x14ac:dyDescent="0.35">
      <c r="A44" s="2">
        <f t="shared" si="6"/>
        <v>2.0656350000000012</v>
      </c>
      <c r="B44" s="2">
        <f t="shared" si="8"/>
        <v>4.1084529292496388</v>
      </c>
      <c r="C44" s="2">
        <f t="shared" si="9"/>
        <v>-4.1084529292496388</v>
      </c>
      <c r="N44" t="e">
        <f t="shared" si="0"/>
        <v>#N/A</v>
      </c>
      <c r="P44" t="e">
        <f t="shared" si="3"/>
        <v>#N/A</v>
      </c>
      <c r="Q44" t="e">
        <f t="shared" si="1"/>
        <v>#VALUE!</v>
      </c>
      <c r="S44" t="e">
        <f t="shared" si="4"/>
        <v>#N/A</v>
      </c>
      <c r="T44" t="e">
        <f t="shared" si="2"/>
        <v>#VALUE!</v>
      </c>
    </row>
    <row r="45" spans="1:20" x14ac:dyDescent="0.35">
      <c r="A45" s="2">
        <f t="shared" si="6"/>
        <v>2.1656350000000013</v>
      </c>
      <c r="B45" s="2">
        <f t="shared" si="8"/>
        <v>4.2804683047334251</v>
      </c>
      <c r="C45" s="2">
        <f t="shared" si="9"/>
        <v>-4.2804683047334251</v>
      </c>
      <c r="N45" t="e">
        <f t="shared" si="0"/>
        <v>#N/A</v>
      </c>
      <c r="P45" t="e">
        <f t="shared" si="3"/>
        <v>#N/A</v>
      </c>
      <c r="Q45" t="e">
        <f t="shared" si="1"/>
        <v>#VALUE!</v>
      </c>
      <c r="S45" t="e">
        <f t="shared" si="4"/>
        <v>#N/A</v>
      </c>
      <c r="T45" t="e">
        <f t="shared" si="2"/>
        <v>#VALUE!</v>
      </c>
    </row>
    <row r="46" spans="1:20" x14ac:dyDescent="0.35">
      <c r="A46" s="2">
        <f t="shared" si="6"/>
        <v>2.2656350000000014</v>
      </c>
      <c r="B46" s="2">
        <f t="shared" si="8"/>
        <v>4.4604226754641703</v>
      </c>
      <c r="C46" s="2">
        <f t="shared" si="9"/>
        <v>-4.4604226754641703</v>
      </c>
      <c r="N46" t="e">
        <f t="shared" si="0"/>
        <v>#N/A</v>
      </c>
      <c r="P46" t="e">
        <f t="shared" si="3"/>
        <v>#N/A</v>
      </c>
      <c r="Q46" t="e">
        <f t="shared" si="1"/>
        <v>#VALUE!</v>
      </c>
      <c r="S46" t="e">
        <f t="shared" si="4"/>
        <v>#N/A</v>
      </c>
      <c r="T46" t="e">
        <f t="shared" si="2"/>
        <v>#VALUE!</v>
      </c>
    </row>
    <row r="47" spans="1:20" x14ac:dyDescent="0.35">
      <c r="A47" s="2">
        <f t="shared" si="6"/>
        <v>2.3656350000000015</v>
      </c>
      <c r="B47" s="2">
        <f t="shared" si="8"/>
        <v>4.6480393801862796</v>
      </c>
      <c r="C47" s="2">
        <f t="shared" si="9"/>
        <v>-4.6480393801862796</v>
      </c>
      <c r="N47" t="e">
        <f t="shared" si="0"/>
        <v>#N/A</v>
      </c>
      <c r="P47" t="e">
        <f t="shared" si="3"/>
        <v>#N/A</v>
      </c>
      <c r="Q47" t="e">
        <f t="shared" si="1"/>
        <v>#VALUE!</v>
      </c>
      <c r="S47" t="e">
        <f t="shared" si="4"/>
        <v>#N/A</v>
      </c>
      <c r="T47" t="e">
        <f t="shared" si="2"/>
        <v>#VALUE!</v>
      </c>
    </row>
    <row r="48" spans="1:20" x14ac:dyDescent="0.35">
      <c r="A48" s="2">
        <f t="shared" si="6"/>
        <v>2.4656350000000016</v>
      </c>
      <c r="B48" s="2">
        <f t="shared" si="8"/>
        <v>4.8430473687266318</v>
      </c>
      <c r="C48" s="2">
        <f t="shared" si="9"/>
        <v>-4.8430473687266318</v>
      </c>
      <c r="N48" t="e">
        <f t="shared" si="0"/>
        <v>#N/A</v>
      </c>
      <c r="P48" t="e">
        <f t="shared" si="3"/>
        <v>#N/A</v>
      </c>
      <c r="Q48" t="e">
        <f t="shared" si="1"/>
        <v>#VALUE!</v>
      </c>
      <c r="S48" t="e">
        <f t="shared" si="4"/>
        <v>#N/A</v>
      </c>
      <c r="T48" t="e">
        <f t="shared" si="2"/>
        <v>#VALUE!</v>
      </c>
    </row>
    <row r="49" spans="1:20" x14ac:dyDescent="0.35">
      <c r="A49" s="2">
        <f t="shared" si="6"/>
        <v>2.5656350000000017</v>
      </c>
      <c r="B49" s="2">
        <f t="shared" si="8"/>
        <v>5.0451842039411661</v>
      </c>
      <c r="C49" s="2">
        <f t="shared" si="9"/>
        <v>-5.0451842039411661</v>
      </c>
      <c r="N49" t="e">
        <f t="shared" si="0"/>
        <v>#N/A</v>
      </c>
      <c r="P49" t="e">
        <f t="shared" si="3"/>
        <v>#N/A</v>
      </c>
      <c r="Q49" t="e">
        <f t="shared" si="1"/>
        <v>#VALUE!</v>
      </c>
      <c r="S49" t="e">
        <f t="shared" si="4"/>
        <v>#N/A</v>
      </c>
      <c r="T49" t="e">
        <f t="shared" si="2"/>
        <v>#VALUE!</v>
      </c>
    </row>
    <row r="50" spans="1:20" x14ac:dyDescent="0.35">
      <c r="A50" s="2">
        <f t="shared" si="6"/>
        <v>2.6656350000000018</v>
      </c>
      <c r="B50" s="2">
        <f t="shared" si="8"/>
        <v>5.2541980917800348</v>
      </c>
      <c r="C50" s="2">
        <f t="shared" si="9"/>
        <v>-5.2541980917800348</v>
      </c>
      <c r="N50" t="e">
        <f t="shared" si="0"/>
        <v>#N/A</v>
      </c>
      <c r="P50" t="e">
        <f t="shared" si="3"/>
        <v>#N/A</v>
      </c>
      <c r="Q50" t="e">
        <f t="shared" si="1"/>
        <v>#VALUE!</v>
      </c>
      <c r="S50" t="e">
        <f t="shared" si="4"/>
        <v>#N/A</v>
      </c>
      <c r="T50" t="e">
        <f t="shared" si="2"/>
        <v>#VALUE!</v>
      </c>
    </row>
    <row r="51" spans="1:20" x14ac:dyDescent="0.35">
      <c r="A51" s="2">
        <f t="shared" si="6"/>
        <v>2.7656350000000018</v>
      </c>
      <c r="B51" s="2">
        <f t="shared" si="5"/>
        <v>5.4698491408477139</v>
      </c>
      <c r="C51" s="2">
        <f t="shared" si="7"/>
        <v>-5.4698491408477139</v>
      </c>
      <c r="N51" t="e">
        <f t="shared" si="0"/>
        <v>#N/A</v>
      </c>
      <c r="P51" t="e">
        <f t="shared" si="3"/>
        <v>#N/A</v>
      </c>
      <c r="Q51" t="e">
        <f t="shared" si="1"/>
        <v>#VALUE!</v>
      </c>
      <c r="S51" t="e">
        <f t="shared" si="4"/>
        <v>#N/A</v>
      </c>
      <c r="T51" t="e">
        <f t="shared" si="2"/>
        <v>#VALUE!</v>
      </c>
    </row>
    <row r="52" spans="1:20" x14ac:dyDescent="0.35">
      <c r="A52" s="2">
        <f t="shared" si="6"/>
        <v>2.8656350000000019</v>
      </c>
      <c r="B52" s="2">
        <f t="shared" si="5"/>
        <v>5.691910027363396</v>
      </c>
      <c r="C52" s="2">
        <f t="shared" si="7"/>
        <v>-5.691910027363396</v>
      </c>
      <c r="N52" t="e">
        <f t="shared" si="0"/>
        <v>#N/A</v>
      </c>
      <c r="P52" t="e">
        <f t="shared" si="3"/>
        <v>#N/A</v>
      </c>
      <c r="Q52" t="e">
        <f t="shared" si="1"/>
        <v>#VALUE!</v>
      </c>
      <c r="S52" t="e">
        <f t="shared" si="4"/>
        <v>#N/A</v>
      </c>
      <c r="T52" t="e">
        <f t="shared" si="2"/>
        <v>#VALUE!</v>
      </c>
    </row>
    <row r="53" spans="1:20" x14ac:dyDescent="0.35">
      <c r="A53" s="2">
        <f t="shared" si="6"/>
        <v>2.965635000000002</v>
      </c>
      <c r="B53" s="2">
        <f t="shared" si="5"/>
        <v>5.9201662135084918</v>
      </c>
      <c r="C53" s="2">
        <f t="shared" si="7"/>
        <v>-5.9201662135084918</v>
      </c>
      <c r="N53" t="e">
        <f t="shared" si="0"/>
        <v>#N/A</v>
      </c>
      <c r="P53" t="e">
        <f t="shared" si="3"/>
        <v>#N/A</v>
      </c>
      <c r="Q53" t="e">
        <f t="shared" si="1"/>
        <v>#VALUE!</v>
      </c>
      <c r="S53" t="e">
        <f t="shared" si="4"/>
        <v>#N/A</v>
      </c>
      <c r="T53" t="e">
        <f t="shared" si="2"/>
        <v>#VALUE!</v>
      </c>
    </row>
    <row r="54" spans="1:20" x14ac:dyDescent="0.35">
      <c r="N54" t="e">
        <f t="shared" si="0"/>
        <v>#N/A</v>
      </c>
      <c r="P54" t="e">
        <f t="shared" si="3"/>
        <v>#N/A</v>
      </c>
      <c r="Q54" t="e">
        <f t="shared" si="1"/>
        <v>#VALUE!</v>
      </c>
      <c r="S54" t="e">
        <f t="shared" si="4"/>
        <v>#N/A</v>
      </c>
      <c r="T54" t="e">
        <f t="shared" si="2"/>
        <v>#VALUE!</v>
      </c>
    </row>
    <row r="55" spans="1:20" x14ac:dyDescent="0.35">
      <c r="N55" t="e">
        <f t="shared" si="0"/>
        <v>#N/A</v>
      </c>
      <c r="P55" t="e">
        <f t="shared" si="3"/>
        <v>#N/A</v>
      </c>
      <c r="Q55" t="e">
        <f t="shared" si="1"/>
        <v>#VALUE!</v>
      </c>
      <c r="S55" t="e">
        <f t="shared" si="4"/>
        <v>#N/A</v>
      </c>
      <c r="T55" t="e">
        <f t="shared" si="2"/>
        <v>#VALUE!</v>
      </c>
    </row>
    <row r="56" spans="1:20" x14ac:dyDescent="0.35">
      <c r="N56" t="e">
        <f t="shared" si="0"/>
        <v>#N/A</v>
      </c>
      <c r="P56" t="e">
        <f t="shared" si="3"/>
        <v>#N/A</v>
      </c>
      <c r="Q56" t="e">
        <f t="shared" si="1"/>
        <v>#VALUE!</v>
      </c>
      <c r="S56" t="e">
        <f t="shared" si="4"/>
        <v>#N/A</v>
      </c>
      <c r="T56" t="e">
        <f t="shared" si="2"/>
        <v>#VALUE!</v>
      </c>
    </row>
    <row r="57" spans="1:20" x14ac:dyDescent="0.35">
      <c r="N57" t="e">
        <f t="shared" si="0"/>
        <v>#N/A</v>
      </c>
      <c r="P57" t="e">
        <f t="shared" si="3"/>
        <v>#N/A</v>
      </c>
      <c r="Q57" t="e">
        <f t="shared" si="1"/>
        <v>#VALUE!</v>
      </c>
      <c r="S57" t="e">
        <f t="shared" si="4"/>
        <v>#N/A</v>
      </c>
      <c r="T57" t="e">
        <f t="shared" si="2"/>
        <v>#VALUE!</v>
      </c>
    </row>
    <row r="58" spans="1:20" x14ac:dyDescent="0.35">
      <c r="N58" t="e">
        <f t="shared" si="0"/>
        <v>#N/A</v>
      </c>
      <c r="P58" t="e">
        <f t="shared" si="3"/>
        <v>#N/A</v>
      </c>
      <c r="Q58" t="e">
        <f t="shared" si="1"/>
        <v>#VALUE!</v>
      </c>
      <c r="S58" t="e">
        <f t="shared" si="4"/>
        <v>#N/A</v>
      </c>
      <c r="T58" t="e">
        <f t="shared" si="2"/>
        <v>#VALUE!</v>
      </c>
    </row>
    <row r="59" spans="1:20" x14ac:dyDescent="0.35">
      <c r="N59" t="e">
        <f t="shared" si="0"/>
        <v>#N/A</v>
      </c>
      <c r="P59" t="e">
        <f t="shared" si="3"/>
        <v>#N/A</v>
      </c>
      <c r="Q59" t="e">
        <f t="shared" si="1"/>
        <v>#VALUE!</v>
      </c>
      <c r="S59" t="e">
        <f t="shared" si="4"/>
        <v>#N/A</v>
      </c>
      <c r="T59" t="e">
        <f t="shared" si="2"/>
        <v>#VALUE!</v>
      </c>
    </row>
    <row r="60" spans="1:20" x14ac:dyDescent="0.35">
      <c r="N60" t="e">
        <f t="shared" si="0"/>
        <v>#N/A</v>
      </c>
      <c r="P60" t="e">
        <f t="shared" si="3"/>
        <v>#N/A</v>
      </c>
      <c r="Q60" t="e">
        <f t="shared" si="1"/>
        <v>#VALUE!</v>
      </c>
      <c r="S60" t="e">
        <f t="shared" si="4"/>
        <v>#N/A</v>
      </c>
      <c r="T60" t="e">
        <f t="shared" si="2"/>
        <v>#VALUE!</v>
      </c>
    </row>
    <row r="61" spans="1:20" x14ac:dyDescent="0.35">
      <c r="N61" t="e">
        <f t="shared" si="0"/>
        <v>#N/A</v>
      </c>
      <c r="P61" t="e">
        <f t="shared" si="3"/>
        <v>#N/A</v>
      </c>
      <c r="Q61" t="e">
        <f t="shared" si="1"/>
        <v>#VALUE!</v>
      </c>
      <c r="S61" t="e">
        <f t="shared" si="4"/>
        <v>#N/A</v>
      </c>
      <c r="T61" t="e">
        <f t="shared" si="2"/>
        <v>#VALUE!</v>
      </c>
    </row>
    <row r="62" spans="1:20" x14ac:dyDescent="0.35">
      <c r="N62" t="e">
        <f t="shared" si="0"/>
        <v>#N/A</v>
      </c>
      <c r="P62" t="e">
        <f t="shared" si="3"/>
        <v>#N/A</v>
      </c>
      <c r="Q62" t="e">
        <f t="shared" si="1"/>
        <v>#VALUE!</v>
      </c>
      <c r="S62" t="e">
        <f t="shared" si="4"/>
        <v>#N/A</v>
      </c>
      <c r="T62" t="e">
        <f t="shared" si="2"/>
        <v>#VALUE!</v>
      </c>
    </row>
    <row r="63" spans="1:20" x14ac:dyDescent="0.35">
      <c r="N63" t="e">
        <f t="shared" si="0"/>
        <v>#N/A</v>
      </c>
      <c r="P63" t="e">
        <f t="shared" si="3"/>
        <v>#N/A</v>
      </c>
      <c r="Q63" t="e">
        <f t="shared" si="1"/>
        <v>#VALUE!</v>
      </c>
      <c r="S63" t="e">
        <f t="shared" si="4"/>
        <v>#N/A</v>
      </c>
      <c r="T63" t="e">
        <f t="shared" si="2"/>
        <v>#VALUE!</v>
      </c>
    </row>
    <row r="64" spans="1:20" x14ac:dyDescent="0.35">
      <c r="N64" t="e">
        <f t="shared" si="0"/>
        <v>#N/A</v>
      </c>
      <c r="P64" t="e">
        <f t="shared" si="3"/>
        <v>#N/A</v>
      </c>
      <c r="Q64" t="e">
        <f t="shared" si="1"/>
        <v>#VALUE!</v>
      </c>
      <c r="S64" t="e">
        <f t="shared" si="4"/>
        <v>#N/A</v>
      </c>
      <c r="T64" t="e">
        <f t="shared" si="2"/>
        <v>#VALUE!</v>
      </c>
    </row>
    <row r="65" spans="14:20" x14ac:dyDescent="0.35">
      <c r="N65" t="e">
        <f t="shared" si="0"/>
        <v>#N/A</v>
      </c>
      <c r="P65" t="e">
        <f t="shared" si="3"/>
        <v>#N/A</v>
      </c>
      <c r="Q65" t="e">
        <f t="shared" si="1"/>
        <v>#VALUE!</v>
      </c>
      <c r="S65" t="e">
        <f t="shared" si="4"/>
        <v>#N/A</v>
      </c>
      <c r="T65" t="e">
        <f t="shared" si="2"/>
        <v>#VALUE!</v>
      </c>
    </row>
    <row r="66" spans="14:20" x14ac:dyDescent="0.35">
      <c r="N66" t="e">
        <f t="shared" ref="N66:N129" si="10">MOD(P66^3+a*P66+b,prime)</f>
        <v>#N/A</v>
      </c>
      <c r="P66" t="e">
        <f t="shared" si="3"/>
        <v>#N/A</v>
      </c>
      <c r="Q66" t="e">
        <f t="shared" ref="Q66:Q129" si="11">modular_sqrt(N66,prime)</f>
        <v>#VALUE!</v>
      </c>
      <c r="S66" t="e">
        <f t="shared" si="4"/>
        <v>#N/A</v>
      </c>
      <c r="T66" t="e">
        <f t="shared" ref="T66:T129" si="12">MOD(prime-Q66,prime)/Q66*Q66</f>
        <v>#VALUE!</v>
      </c>
    </row>
    <row r="67" spans="14:20" x14ac:dyDescent="0.35">
      <c r="N67" t="e">
        <f t="shared" si="10"/>
        <v>#N/A</v>
      </c>
      <c r="P67" t="e">
        <f t="shared" ref="P67:P130" si="13">IF(P66+1&lt;prime,P66+1,NA())</f>
        <v>#N/A</v>
      </c>
      <c r="Q67" t="e">
        <f t="shared" si="11"/>
        <v>#VALUE!</v>
      </c>
      <c r="S67" t="e">
        <f t="shared" ref="S67:S130" si="14">P67</f>
        <v>#N/A</v>
      </c>
      <c r="T67" t="e">
        <f t="shared" si="12"/>
        <v>#VALUE!</v>
      </c>
    </row>
    <row r="68" spans="14:20" x14ac:dyDescent="0.35">
      <c r="N68" t="e">
        <f t="shared" si="10"/>
        <v>#N/A</v>
      </c>
      <c r="P68" t="e">
        <f t="shared" si="13"/>
        <v>#N/A</v>
      </c>
      <c r="Q68" t="e">
        <f t="shared" si="11"/>
        <v>#VALUE!</v>
      </c>
      <c r="S68" t="e">
        <f t="shared" si="14"/>
        <v>#N/A</v>
      </c>
      <c r="T68" t="e">
        <f t="shared" si="12"/>
        <v>#VALUE!</v>
      </c>
    </row>
    <row r="69" spans="14:20" x14ac:dyDescent="0.35">
      <c r="N69" t="e">
        <f t="shared" si="10"/>
        <v>#N/A</v>
      </c>
      <c r="P69" t="e">
        <f t="shared" si="13"/>
        <v>#N/A</v>
      </c>
      <c r="Q69" t="e">
        <f t="shared" si="11"/>
        <v>#VALUE!</v>
      </c>
      <c r="S69" t="e">
        <f t="shared" si="14"/>
        <v>#N/A</v>
      </c>
      <c r="T69" t="e">
        <f t="shared" si="12"/>
        <v>#VALUE!</v>
      </c>
    </row>
    <row r="70" spans="14:20" x14ac:dyDescent="0.35">
      <c r="N70" t="e">
        <f t="shared" si="10"/>
        <v>#N/A</v>
      </c>
      <c r="P70" t="e">
        <f t="shared" si="13"/>
        <v>#N/A</v>
      </c>
      <c r="Q70" t="e">
        <f t="shared" si="11"/>
        <v>#VALUE!</v>
      </c>
      <c r="S70" t="e">
        <f t="shared" si="14"/>
        <v>#N/A</v>
      </c>
      <c r="T70" t="e">
        <f t="shared" si="12"/>
        <v>#VALUE!</v>
      </c>
    </row>
    <row r="71" spans="14:20" x14ac:dyDescent="0.35">
      <c r="N71" t="e">
        <f t="shared" si="10"/>
        <v>#N/A</v>
      </c>
      <c r="P71" t="e">
        <f t="shared" si="13"/>
        <v>#N/A</v>
      </c>
      <c r="Q71" t="e">
        <f t="shared" si="11"/>
        <v>#VALUE!</v>
      </c>
      <c r="S71" t="e">
        <f t="shared" si="14"/>
        <v>#N/A</v>
      </c>
      <c r="T71" t="e">
        <f t="shared" si="12"/>
        <v>#VALUE!</v>
      </c>
    </row>
    <row r="72" spans="14:20" x14ac:dyDescent="0.35">
      <c r="N72" t="e">
        <f t="shared" si="10"/>
        <v>#N/A</v>
      </c>
      <c r="P72" t="e">
        <f t="shared" si="13"/>
        <v>#N/A</v>
      </c>
      <c r="Q72" t="e">
        <f t="shared" si="11"/>
        <v>#VALUE!</v>
      </c>
      <c r="S72" t="e">
        <f t="shared" si="14"/>
        <v>#N/A</v>
      </c>
      <c r="T72" t="e">
        <f t="shared" si="12"/>
        <v>#VALUE!</v>
      </c>
    </row>
    <row r="73" spans="14:20" x14ac:dyDescent="0.35">
      <c r="N73" t="e">
        <f t="shared" si="10"/>
        <v>#N/A</v>
      </c>
      <c r="P73" t="e">
        <f t="shared" si="13"/>
        <v>#N/A</v>
      </c>
      <c r="Q73" t="e">
        <f t="shared" si="11"/>
        <v>#VALUE!</v>
      </c>
      <c r="S73" t="e">
        <f t="shared" si="14"/>
        <v>#N/A</v>
      </c>
      <c r="T73" t="e">
        <f t="shared" si="12"/>
        <v>#VALUE!</v>
      </c>
    </row>
    <row r="74" spans="14:20" x14ac:dyDescent="0.35">
      <c r="N74" t="e">
        <f t="shared" si="10"/>
        <v>#N/A</v>
      </c>
      <c r="P74" t="e">
        <f t="shared" si="13"/>
        <v>#N/A</v>
      </c>
      <c r="Q74" t="e">
        <f t="shared" si="11"/>
        <v>#VALUE!</v>
      </c>
      <c r="S74" t="e">
        <f t="shared" si="14"/>
        <v>#N/A</v>
      </c>
      <c r="T74" t="e">
        <f t="shared" si="12"/>
        <v>#VALUE!</v>
      </c>
    </row>
    <row r="75" spans="14:20" x14ac:dyDescent="0.35">
      <c r="N75" t="e">
        <f t="shared" si="10"/>
        <v>#N/A</v>
      </c>
      <c r="P75" t="e">
        <f t="shared" si="13"/>
        <v>#N/A</v>
      </c>
      <c r="Q75" t="e">
        <f t="shared" si="11"/>
        <v>#VALUE!</v>
      </c>
      <c r="S75" t="e">
        <f t="shared" si="14"/>
        <v>#N/A</v>
      </c>
      <c r="T75" t="e">
        <f t="shared" si="12"/>
        <v>#VALUE!</v>
      </c>
    </row>
    <row r="76" spans="14:20" x14ac:dyDescent="0.35">
      <c r="N76" t="e">
        <f t="shared" si="10"/>
        <v>#N/A</v>
      </c>
      <c r="P76" t="e">
        <f t="shared" si="13"/>
        <v>#N/A</v>
      </c>
      <c r="Q76" t="e">
        <f t="shared" si="11"/>
        <v>#VALUE!</v>
      </c>
      <c r="S76" t="e">
        <f t="shared" si="14"/>
        <v>#N/A</v>
      </c>
      <c r="T76" t="e">
        <f t="shared" si="12"/>
        <v>#VALUE!</v>
      </c>
    </row>
    <row r="77" spans="14:20" x14ac:dyDescent="0.35">
      <c r="N77" t="e">
        <f t="shared" si="10"/>
        <v>#N/A</v>
      </c>
      <c r="P77" t="e">
        <f t="shared" si="13"/>
        <v>#N/A</v>
      </c>
      <c r="Q77" t="e">
        <f t="shared" si="11"/>
        <v>#VALUE!</v>
      </c>
      <c r="S77" t="e">
        <f t="shared" si="14"/>
        <v>#N/A</v>
      </c>
      <c r="T77" t="e">
        <f t="shared" si="12"/>
        <v>#VALUE!</v>
      </c>
    </row>
    <row r="78" spans="14:20" x14ac:dyDescent="0.35">
      <c r="N78" t="e">
        <f t="shared" si="10"/>
        <v>#N/A</v>
      </c>
      <c r="P78" t="e">
        <f t="shared" si="13"/>
        <v>#N/A</v>
      </c>
      <c r="Q78" t="e">
        <f t="shared" si="11"/>
        <v>#VALUE!</v>
      </c>
      <c r="S78" t="e">
        <f t="shared" si="14"/>
        <v>#N/A</v>
      </c>
      <c r="T78" t="e">
        <f t="shared" si="12"/>
        <v>#VALUE!</v>
      </c>
    </row>
    <row r="79" spans="14:20" x14ac:dyDescent="0.35">
      <c r="N79" t="e">
        <f t="shared" si="10"/>
        <v>#N/A</v>
      </c>
      <c r="P79" t="e">
        <f t="shared" si="13"/>
        <v>#N/A</v>
      </c>
      <c r="Q79" t="e">
        <f t="shared" si="11"/>
        <v>#VALUE!</v>
      </c>
      <c r="S79" t="e">
        <f t="shared" si="14"/>
        <v>#N/A</v>
      </c>
      <c r="T79" t="e">
        <f t="shared" si="12"/>
        <v>#VALUE!</v>
      </c>
    </row>
    <row r="80" spans="14:20" x14ac:dyDescent="0.35">
      <c r="N80" t="e">
        <f t="shared" si="10"/>
        <v>#N/A</v>
      </c>
      <c r="P80" t="e">
        <f t="shared" si="13"/>
        <v>#N/A</v>
      </c>
      <c r="Q80" t="e">
        <f t="shared" si="11"/>
        <v>#VALUE!</v>
      </c>
      <c r="S80" t="e">
        <f t="shared" si="14"/>
        <v>#N/A</v>
      </c>
      <c r="T80" t="e">
        <f t="shared" si="12"/>
        <v>#VALUE!</v>
      </c>
    </row>
    <row r="81" spans="14:20" x14ac:dyDescent="0.35">
      <c r="N81" t="e">
        <f t="shared" si="10"/>
        <v>#N/A</v>
      </c>
      <c r="P81" t="e">
        <f t="shared" si="13"/>
        <v>#N/A</v>
      </c>
      <c r="Q81" t="e">
        <f t="shared" si="11"/>
        <v>#VALUE!</v>
      </c>
      <c r="S81" t="e">
        <f t="shared" si="14"/>
        <v>#N/A</v>
      </c>
      <c r="T81" t="e">
        <f t="shared" si="12"/>
        <v>#VALUE!</v>
      </c>
    </row>
    <row r="82" spans="14:20" x14ac:dyDescent="0.35">
      <c r="N82" t="e">
        <f t="shared" si="10"/>
        <v>#N/A</v>
      </c>
      <c r="P82" t="e">
        <f t="shared" si="13"/>
        <v>#N/A</v>
      </c>
      <c r="Q82" t="e">
        <f t="shared" si="11"/>
        <v>#VALUE!</v>
      </c>
      <c r="S82" t="e">
        <f t="shared" si="14"/>
        <v>#N/A</v>
      </c>
      <c r="T82" t="e">
        <f t="shared" si="12"/>
        <v>#VALUE!</v>
      </c>
    </row>
    <row r="83" spans="14:20" x14ac:dyDescent="0.35">
      <c r="N83" t="e">
        <f t="shared" si="10"/>
        <v>#N/A</v>
      </c>
      <c r="P83" t="e">
        <f t="shared" si="13"/>
        <v>#N/A</v>
      </c>
      <c r="Q83" t="e">
        <f t="shared" si="11"/>
        <v>#VALUE!</v>
      </c>
      <c r="S83" t="e">
        <f t="shared" si="14"/>
        <v>#N/A</v>
      </c>
      <c r="T83" t="e">
        <f t="shared" si="12"/>
        <v>#VALUE!</v>
      </c>
    </row>
    <row r="84" spans="14:20" x14ac:dyDescent="0.35">
      <c r="N84" t="e">
        <f t="shared" si="10"/>
        <v>#N/A</v>
      </c>
      <c r="P84" t="e">
        <f t="shared" si="13"/>
        <v>#N/A</v>
      </c>
      <c r="Q84" t="e">
        <f t="shared" si="11"/>
        <v>#VALUE!</v>
      </c>
      <c r="S84" t="e">
        <f t="shared" si="14"/>
        <v>#N/A</v>
      </c>
      <c r="T84" t="e">
        <f t="shared" si="12"/>
        <v>#VALUE!</v>
      </c>
    </row>
    <row r="85" spans="14:20" x14ac:dyDescent="0.35">
      <c r="N85" t="e">
        <f t="shared" si="10"/>
        <v>#N/A</v>
      </c>
      <c r="P85" t="e">
        <f t="shared" si="13"/>
        <v>#N/A</v>
      </c>
      <c r="Q85" t="e">
        <f t="shared" si="11"/>
        <v>#VALUE!</v>
      </c>
      <c r="S85" t="e">
        <f t="shared" si="14"/>
        <v>#N/A</v>
      </c>
      <c r="T85" t="e">
        <f t="shared" si="12"/>
        <v>#VALUE!</v>
      </c>
    </row>
    <row r="86" spans="14:20" x14ac:dyDescent="0.35">
      <c r="N86" t="e">
        <f t="shared" si="10"/>
        <v>#N/A</v>
      </c>
      <c r="P86" t="e">
        <f t="shared" si="13"/>
        <v>#N/A</v>
      </c>
      <c r="Q86" t="e">
        <f t="shared" si="11"/>
        <v>#VALUE!</v>
      </c>
      <c r="S86" t="e">
        <f t="shared" si="14"/>
        <v>#N/A</v>
      </c>
      <c r="T86" t="e">
        <f t="shared" si="12"/>
        <v>#VALUE!</v>
      </c>
    </row>
    <row r="87" spans="14:20" x14ac:dyDescent="0.35">
      <c r="N87" t="e">
        <f t="shared" si="10"/>
        <v>#N/A</v>
      </c>
      <c r="P87" t="e">
        <f t="shared" si="13"/>
        <v>#N/A</v>
      </c>
      <c r="Q87" t="e">
        <f t="shared" si="11"/>
        <v>#VALUE!</v>
      </c>
      <c r="S87" t="e">
        <f t="shared" si="14"/>
        <v>#N/A</v>
      </c>
      <c r="T87" t="e">
        <f t="shared" si="12"/>
        <v>#VALUE!</v>
      </c>
    </row>
    <row r="88" spans="14:20" x14ac:dyDescent="0.35">
      <c r="N88" t="e">
        <f t="shared" si="10"/>
        <v>#N/A</v>
      </c>
      <c r="P88" t="e">
        <f t="shared" si="13"/>
        <v>#N/A</v>
      </c>
      <c r="Q88" t="e">
        <f t="shared" si="11"/>
        <v>#VALUE!</v>
      </c>
      <c r="S88" t="e">
        <f t="shared" si="14"/>
        <v>#N/A</v>
      </c>
      <c r="T88" t="e">
        <f t="shared" si="12"/>
        <v>#VALUE!</v>
      </c>
    </row>
    <row r="89" spans="14:20" x14ac:dyDescent="0.35">
      <c r="N89" t="e">
        <f t="shared" si="10"/>
        <v>#N/A</v>
      </c>
      <c r="P89" t="e">
        <f t="shared" si="13"/>
        <v>#N/A</v>
      </c>
      <c r="Q89" t="e">
        <f t="shared" si="11"/>
        <v>#VALUE!</v>
      </c>
      <c r="S89" t="e">
        <f t="shared" si="14"/>
        <v>#N/A</v>
      </c>
      <c r="T89" t="e">
        <f t="shared" si="12"/>
        <v>#VALUE!</v>
      </c>
    </row>
    <row r="90" spans="14:20" x14ac:dyDescent="0.35">
      <c r="N90" t="e">
        <f t="shared" si="10"/>
        <v>#N/A</v>
      </c>
      <c r="P90" t="e">
        <f t="shared" si="13"/>
        <v>#N/A</v>
      </c>
      <c r="Q90" t="e">
        <f t="shared" si="11"/>
        <v>#VALUE!</v>
      </c>
      <c r="S90" t="e">
        <f t="shared" si="14"/>
        <v>#N/A</v>
      </c>
      <c r="T90" t="e">
        <f t="shared" si="12"/>
        <v>#VALUE!</v>
      </c>
    </row>
    <row r="91" spans="14:20" x14ac:dyDescent="0.35">
      <c r="N91" t="e">
        <f t="shared" si="10"/>
        <v>#N/A</v>
      </c>
      <c r="P91" t="e">
        <f t="shared" si="13"/>
        <v>#N/A</v>
      </c>
      <c r="Q91" t="e">
        <f t="shared" si="11"/>
        <v>#VALUE!</v>
      </c>
      <c r="S91" t="e">
        <f t="shared" si="14"/>
        <v>#N/A</v>
      </c>
      <c r="T91" t="e">
        <f t="shared" si="12"/>
        <v>#VALUE!</v>
      </c>
    </row>
    <row r="92" spans="14:20" x14ac:dyDescent="0.35">
      <c r="N92" t="e">
        <f t="shared" si="10"/>
        <v>#N/A</v>
      </c>
      <c r="P92" t="e">
        <f t="shared" si="13"/>
        <v>#N/A</v>
      </c>
      <c r="Q92" t="e">
        <f t="shared" si="11"/>
        <v>#VALUE!</v>
      </c>
      <c r="S92" t="e">
        <f t="shared" si="14"/>
        <v>#N/A</v>
      </c>
      <c r="T92" t="e">
        <f t="shared" si="12"/>
        <v>#VALUE!</v>
      </c>
    </row>
    <row r="93" spans="14:20" x14ac:dyDescent="0.35">
      <c r="N93" t="e">
        <f t="shared" si="10"/>
        <v>#N/A</v>
      </c>
      <c r="P93" t="e">
        <f t="shared" si="13"/>
        <v>#N/A</v>
      </c>
      <c r="Q93" t="e">
        <f t="shared" si="11"/>
        <v>#VALUE!</v>
      </c>
      <c r="S93" t="e">
        <f t="shared" si="14"/>
        <v>#N/A</v>
      </c>
      <c r="T93" t="e">
        <f t="shared" si="12"/>
        <v>#VALUE!</v>
      </c>
    </row>
    <row r="94" spans="14:20" x14ac:dyDescent="0.35">
      <c r="N94" t="e">
        <f t="shared" si="10"/>
        <v>#N/A</v>
      </c>
      <c r="P94" t="e">
        <f t="shared" si="13"/>
        <v>#N/A</v>
      </c>
      <c r="Q94" t="e">
        <f t="shared" si="11"/>
        <v>#VALUE!</v>
      </c>
      <c r="S94" t="e">
        <f t="shared" si="14"/>
        <v>#N/A</v>
      </c>
      <c r="T94" t="e">
        <f t="shared" si="12"/>
        <v>#VALUE!</v>
      </c>
    </row>
    <row r="95" spans="14:20" x14ac:dyDescent="0.35">
      <c r="N95" t="e">
        <f t="shared" si="10"/>
        <v>#N/A</v>
      </c>
      <c r="P95" t="e">
        <f t="shared" si="13"/>
        <v>#N/A</v>
      </c>
      <c r="Q95" t="e">
        <f t="shared" si="11"/>
        <v>#VALUE!</v>
      </c>
      <c r="S95" t="e">
        <f t="shared" si="14"/>
        <v>#N/A</v>
      </c>
      <c r="T95" t="e">
        <f t="shared" si="12"/>
        <v>#VALUE!</v>
      </c>
    </row>
    <row r="96" spans="14:20" x14ac:dyDescent="0.35">
      <c r="N96" t="e">
        <f t="shared" si="10"/>
        <v>#N/A</v>
      </c>
      <c r="P96" t="e">
        <f t="shared" si="13"/>
        <v>#N/A</v>
      </c>
      <c r="Q96" t="e">
        <f t="shared" si="11"/>
        <v>#VALUE!</v>
      </c>
      <c r="S96" t="e">
        <f t="shared" si="14"/>
        <v>#N/A</v>
      </c>
      <c r="T96" t="e">
        <f t="shared" si="12"/>
        <v>#VALUE!</v>
      </c>
    </row>
    <row r="97" spans="14:20" x14ac:dyDescent="0.35">
      <c r="N97" t="e">
        <f t="shared" si="10"/>
        <v>#N/A</v>
      </c>
      <c r="P97" t="e">
        <f t="shared" si="13"/>
        <v>#N/A</v>
      </c>
      <c r="Q97" t="e">
        <f t="shared" si="11"/>
        <v>#VALUE!</v>
      </c>
      <c r="S97" t="e">
        <f t="shared" si="14"/>
        <v>#N/A</v>
      </c>
      <c r="T97" t="e">
        <f t="shared" si="12"/>
        <v>#VALUE!</v>
      </c>
    </row>
    <row r="98" spans="14:20" x14ac:dyDescent="0.35">
      <c r="N98" t="e">
        <f t="shared" si="10"/>
        <v>#N/A</v>
      </c>
      <c r="P98" t="e">
        <f t="shared" si="13"/>
        <v>#N/A</v>
      </c>
      <c r="Q98" t="e">
        <f t="shared" si="11"/>
        <v>#VALUE!</v>
      </c>
      <c r="S98" t="e">
        <f t="shared" si="14"/>
        <v>#N/A</v>
      </c>
      <c r="T98" t="e">
        <f t="shared" si="12"/>
        <v>#VALUE!</v>
      </c>
    </row>
    <row r="99" spans="14:20" x14ac:dyDescent="0.35">
      <c r="N99" t="e">
        <f t="shared" si="10"/>
        <v>#N/A</v>
      </c>
      <c r="P99" t="e">
        <f t="shared" si="13"/>
        <v>#N/A</v>
      </c>
      <c r="Q99" t="e">
        <f t="shared" si="11"/>
        <v>#VALUE!</v>
      </c>
      <c r="S99" t="e">
        <f t="shared" si="14"/>
        <v>#N/A</v>
      </c>
      <c r="T99" t="e">
        <f t="shared" si="12"/>
        <v>#VALUE!</v>
      </c>
    </row>
    <row r="100" spans="14:20" x14ac:dyDescent="0.35">
      <c r="N100" t="e">
        <f t="shared" si="10"/>
        <v>#N/A</v>
      </c>
      <c r="P100" t="e">
        <f t="shared" si="13"/>
        <v>#N/A</v>
      </c>
      <c r="Q100" t="e">
        <f t="shared" si="11"/>
        <v>#VALUE!</v>
      </c>
      <c r="S100" t="e">
        <f t="shared" si="14"/>
        <v>#N/A</v>
      </c>
      <c r="T100" t="e">
        <f t="shared" si="12"/>
        <v>#VALUE!</v>
      </c>
    </row>
    <row r="101" spans="14:20" x14ac:dyDescent="0.35">
      <c r="N101" t="e">
        <f t="shared" si="10"/>
        <v>#N/A</v>
      </c>
      <c r="P101" t="e">
        <f t="shared" si="13"/>
        <v>#N/A</v>
      </c>
      <c r="Q101" t="e">
        <f t="shared" si="11"/>
        <v>#VALUE!</v>
      </c>
      <c r="S101" t="e">
        <f t="shared" si="14"/>
        <v>#N/A</v>
      </c>
      <c r="T101" t="e">
        <f t="shared" si="12"/>
        <v>#VALUE!</v>
      </c>
    </row>
    <row r="102" spans="14:20" x14ac:dyDescent="0.35">
      <c r="N102" t="e">
        <f t="shared" si="10"/>
        <v>#N/A</v>
      </c>
      <c r="P102" t="e">
        <f t="shared" si="13"/>
        <v>#N/A</v>
      </c>
      <c r="Q102" t="e">
        <f t="shared" si="11"/>
        <v>#VALUE!</v>
      </c>
      <c r="S102" t="e">
        <f t="shared" si="14"/>
        <v>#N/A</v>
      </c>
      <c r="T102" t="e">
        <f t="shared" si="12"/>
        <v>#VALUE!</v>
      </c>
    </row>
    <row r="103" spans="14:20" x14ac:dyDescent="0.35">
      <c r="N103" t="e">
        <f t="shared" si="10"/>
        <v>#N/A</v>
      </c>
      <c r="P103" t="e">
        <f t="shared" si="13"/>
        <v>#N/A</v>
      </c>
      <c r="Q103" t="e">
        <f t="shared" si="11"/>
        <v>#VALUE!</v>
      </c>
      <c r="S103" t="e">
        <f t="shared" si="14"/>
        <v>#N/A</v>
      </c>
      <c r="T103" t="e">
        <f t="shared" si="12"/>
        <v>#VALUE!</v>
      </c>
    </row>
    <row r="104" spans="14:20" x14ac:dyDescent="0.35">
      <c r="N104" t="e">
        <f t="shared" si="10"/>
        <v>#N/A</v>
      </c>
      <c r="P104" t="e">
        <f t="shared" si="13"/>
        <v>#N/A</v>
      </c>
      <c r="Q104" t="e">
        <f t="shared" si="11"/>
        <v>#VALUE!</v>
      </c>
      <c r="S104" t="e">
        <f t="shared" si="14"/>
        <v>#N/A</v>
      </c>
      <c r="T104" t="e">
        <f t="shared" si="12"/>
        <v>#VALUE!</v>
      </c>
    </row>
    <row r="105" spans="14:20" x14ac:dyDescent="0.35">
      <c r="N105" t="e">
        <f t="shared" si="10"/>
        <v>#N/A</v>
      </c>
      <c r="P105" t="e">
        <f t="shared" si="13"/>
        <v>#N/A</v>
      </c>
      <c r="Q105" t="e">
        <f t="shared" si="11"/>
        <v>#VALUE!</v>
      </c>
      <c r="S105" t="e">
        <f t="shared" si="14"/>
        <v>#N/A</v>
      </c>
      <c r="T105" t="e">
        <f t="shared" si="12"/>
        <v>#VALUE!</v>
      </c>
    </row>
    <row r="106" spans="14:20" x14ac:dyDescent="0.35">
      <c r="N106" t="e">
        <f t="shared" si="10"/>
        <v>#N/A</v>
      </c>
      <c r="P106" t="e">
        <f t="shared" si="13"/>
        <v>#N/A</v>
      </c>
      <c r="Q106" t="e">
        <f t="shared" si="11"/>
        <v>#VALUE!</v>
      </c>
      <c r="S106" t="e">
        <f t="shared" si="14"/>
        <v>#N/A</v>
      </c>
      <c r="T106" t="e">
        <f t="shared" si="12"/>
        <v>#VALUE!</v>
      </c>
    </row>
    <row r="107" spans="14:20" x14ac:dyDescent="0.35">
      <c r="N107" t="e">
        <f t="shared" si="10"/>
        <v>#N/A</v>
      </c>
      <c r="P107" t="e">
        <f t="shared" si="13"/>
        <v>#N/A</v>
      </c>
      <c r="Q107" t="e">
        <f t="shared" si="11"/>
        <v>#VALUE!</v>
      </c>
      <c r="S107" t="e">
        <f t="shared" si="14"/>
        <v>#N/A</v>
      </c>
      <c r="T107" t="e">
        <f t="shared" si="12"/>
        <v>#VALUE!</v>
      </c>
    </row>
    <row r="108" spans="14:20" x14ac:dyDescent="0.35">
      <c r="N108" t="e">
        <f t="shared" si="10"/>
        <v>#N/A</v>
      </c>
      <c r="P108" t="e">
        <f t="shared" si="13"/>
        <v>#N/A</v>
      </c>
      <c r="Q108" t="e">
        <f t="shared" si="11"/>
        <v>#VALUE!</v>
      </c>
      <c r="S108" t="e">
        <f t="shared" si="14"/>
        <v>#N/A</v>
      </c>
      <c r="T108" t="e">
        <f t="shared" si="12"/>
        <v>#VALUE!</v>
      </c>
    </row>
    <row r="109" spans="14:20" x14ac:dyDescent="0.35">
      <c r="N109" t="e">
        <f t="shared" si="10"/>
        <v>#N/A</v>
      </c>
      <c r="P109" t="e">
        <f t="shared" si="13"/>
        <v>#N/A</v>
      </c>
      <c r="Q109" t="e">
        <f t="shared" si="11"/>
        <v>#VALUE!</v>
      </c>
      <c r="S109" t="e">
        <f t="shared" si="14"/>
        <v>#N/A</v>
      </c>
      <c r="T109" t="e">
        <f t="shared" si="12"/>
        <v>#VALUE!</v>
      </c>
    </row>
    <row r="110" spans="14:20" x14ac:dyDescent="0.35">
      <c r="N110" t="e">
        <f t="shared" si="10"/>
        <v>#N/A</v>
      </c>
      <c r="P110" t="e">
        <f t="shared" si="13"/>
        <v>#N/A</v>
      </c>
      <c r="Q110" t="e">
        <f t="shared" si="11"/>
        <v>#VALUE!</v>
      </c>
      <c r="S110" t="e">
        <f t="shared" si="14"/>
        <v>#N/A</v>
      </c>
      <c r="T110" t="e">
        <f t="shared" si="12"/>
        <v>#VALUE!</v>
      </c>
    </row>
    <row r="111" spans="14:20" x14ac:dyDescent="0.35">
      <c r="N111" t="e">
        <f t="shared" si="10"/>
        <v>#N/A</v>
      </c>
      <c r="P111" t="e">
        <f t="shared" si="13"/>
        <v>#N/A</v>
      </c>
      <c r="Q111" t="e">
        <f t="shared" si="11"/>
        <v>#VALUE!</v>
      </c>
      <c r="S111" t="e">
        <f t="shared" si="14"/>
        <v>#N/A</v>
      </c>
      <c r="T111" t="e">
        <f t="shared" si="12"/>
        <v>#VALUE!</v>
      </c>
    </row>
    <row r="112" spans="14:20" x14ac:dyDescent="0.35">
      <c r="N112" t="e">
        <f t="shared" si="10"/>
        <v>#N/A</v>
      </c>
      <c r="P112" t="e">
        <f t="shared" si="13"/>
        <v>#N/A</v>
      </c>
      <c r="Q112" t="e">
        <f t="shared" si="11"/>
        <v>#VALUE!</v>
      </c>
      <c r="S112" t="e">
        <f t="shared" si="14"/>
        <v>#N/A</v>
      </c>
      <c r="T112" t="e">
        <f t="shared" si="12"/>
        <v>#VALUE!</v>
      </c>
    </row>
    <row r="113" spans="14:20" x14ac:dyDescent="0.35">
      <c r="N113" t="e">
        <f t="shared" si="10"/>
        <v>#N/A</v>
      </c>
      <c r="P113" t="e">
        <f t="shared" si="13"/>
        <v>#N/A</v>
      </c>
      <c r="Q113" t="e">
        <f t="shared" si="11"/>
        <v>#VALUE!</v>
      </c>
      <c r="S113" t="e">
        <f t="shared" si="14"/>
        <v>#N/A</v>
      </c>
      <c r="T113" t="e">
        <f t="shared" si="12"/>
        <v>#VALUE!</v>
      </c>
    </row>
    <row r="114" spans="14:20" x14ac:dyDescent="0.35">
      <c r="N114" t="e">
        <f t="shared" si="10"/>
        <v>#N/A</v>
      </c>
      <c r="P114" t="e">
        <f t="shared" si="13"/>
        <v>#N/A</v>
      </c>
      <c r="Q114" t="e">
        <f t="shared" si="11"/>
        <v>#VALUE!</v>
      </c>
      <c r="S114" t="e">
        <f t="shared" si="14"/>
        <v>#N/A</v>
      </c>
      <c r="T114" t="e">
        <f t="shared" si="12"/>
        <v>#VALUE!</v>
      </c>
    </row>
    <row r="115" spans="14:20" x14ac:dyDescent="0.35">
      <c r="N115" t="e">
        <f t="shared" si="10"/>
        <v>#N/A</v>
      </c>
      <c r="P115" t="e">
        <f t="shared" si="13"/>
        <v>#N/A</v>
      </c>
      <c r="Q115" t="e">
        <f t="shared" si="11"/>
        <v>#VALUE!</v>
      </c>
      <c r="S115" t="e">
        <f t="shared" si="14"/>
        <v>#N/A</v>
      </c>
      <c r="T115" t="e">
        <f t="shared" si="12"/>
        <v>#VALUE!</v>
      </c>
    </row>
    <row r="116" spans="14:20" x14ac:dyDescent="0.35">
      <c r="N116" t="e">
        <f t="shared" si="10"/>
        <v>#N/A</v>
      </c>
      <c r="P116" t="e">
        <f t="shared" si="13"/>
        <v>#N/A</v>
      </c>
      <c r="Q116" t="e">
        <f t="shared" si="11"/>
        <v>#VALUE!</v>
      </c>
      <c r="S116" t="e">
        <f t="shared" si="14"/>
        <v>#N/A</v>
      </c>
      <c r="T116" t="e">
        <f t="shared" si="12"/>
        <v>#VALUE!</v>
      </c>
    </row>
    <row r="117" spans="14:20" x14ac:dyDescent="0.35">
      <c r="N117" t="e">
        <f t="shared" si="10"/>
        <v>#N/A</v>
      </c>
      <c r="P117" t="e">
        <f t="shared" si="13"/>
        <v>#N/A</v>
      </c>
      <c r="Q117" t="e">
        <f t="shared" si="11"/>
        <v>#VALUE!</v>
      </c>
      <c r="S117" t="e">
        <f t="shared" si="14"/>
        <v>#N/A</v>
      </c>
      <c r="T117" t="e">
        <f t="shared" si="12"/>
        <v>#VALUE!</v>
      </c>
    </row>
    <row r="118" spans="14:20" x14ac:dyDescent="0.35">
      <c r="N118" t="e">
        <f t="shared" si="10"/>
        <v>#N/A</v>
      </c>
      <c r="P118" t="e">
        <f t="shared" si="13"/>
        <v>#N/A</v>
      </c>
      <c r="Q118" t="e">
        <f t="shared" si="11"/>
        <v>#VALUE!</v>
      </c>
      <c r="S118" t="e">
        <f t="shared" si="14"/>
        <v>#N/A</v>
      </c>
      <c r="T118" t="e">
        <f t="shared" si="12"/>
        <v>#VALUE!</v>
      </c>
    </row>
    <row r="119" spans="14:20" x14ac:dyDescent="0.35">
      <c r="N119" t="e">
        <f t="shared" si="10"/>
        <v>#N/A</v>
      </c>
      <c r="P119" t="e">
        <f t="shared" si="13"/>
        <v>#N/A</v>
      </c>
      <c r="Q119" t="e">
        <f t="shared" si="11"/>
        <v>#VALUE!</v>
      </c>
      <c r="S119" t="e">
        <f t="shared" si="14"/>
        <v>#N/A</v>
      </c>
      <c r="T119" t="e">
        <f t="shared" si="12"/>
        <v>#VALUE!</v>
      </c>
    </row>
    <row r="120" spans="14:20" x14ac:dyDescent="0.35">
      <c r="N120" t="e">
        <f t="shared" si="10"/>
        <v>#N/A</v>
      </c>
      <c r="P120" t="e">
        <f t="shared" si="13"/>
        <v>#N/A</v>
      </c>
      <c r="Q120" t="e">
        <f t="shared" si="11"/>
        <v>#VALUE!</v>
      </c>
      <c r="S120" t="e">
        <f t="shared" si="14"/>
        <v>#N/A</v>
      </c>
      <c r="T120" t="e">
        <f t="shared" si="12"/>
        <v>#VALUE!</v>
      </c>
    </row>
    <row r="121" spans="14:20" x14ac:dyDescent="0.35">
      <c r="N121" t="e">
        <f t="shared" si="10"/>
        <v>#N/A</v>
      </c>
      <c r="P121" t="e">
        <f t="shared" si="13"/>
        <v>#N/A</v>
      </c>
      <c r="Q121" t="e">
        <f t="shared" si="11"/>
        <v>#VALUE!</v>
      </c>
      <c r="S121" t="e">
        <f t="shared" si="14"/>
        <v>#N/A</v>
      </c>
      <c r="T121" t="e">
        <f t="shared" si="12"/>
        <v>#VALUE!</v>
      </c>
    </row>
    <row r="122" spans="14:20" x14ac:dyDescent="0.35">
      <c r="N122" t="e">
        <f t="shared" si="10"/>
        <v>#N/A</v>
      </c>
      <c r="P122" t="e">
        <f t="shared" si="13"/>
        <v>#N/A</v>
      </c>
      <c r="Q122" t="e">
        <f t="shared" si="11"/>
        <v>#VALUE!</v>
      </c>
      <c r="S122" t="e">
        <f t="shared" si="14"/>
        <v>#N/A</v>
      </c>
      <c r="T122" t="e">
        <f t="shared" si="12"/>
        <v>#VALUE!</v>
      </c>
    </row>
    <row r="123" spans="14:20" x14ac:dyDescent="0.35">
      <c r="N123" t="e">
        <f t="shared" si="10"/>
        <v>#N/A</v>
      </c>
      <c r="P123" t="e">
        <f t="shared" si="13"/>
        <v>#N/A</v>
      </c>
      <c r="Q123" t="e">
        <f t="shared" si="11"/>
        <v>#VALUE!</v>
      </c>
      <c r="S123" t="e">
        <f t="shared" si="14"/>
        <v>#N/A</v>
      </c>
      <c r="T123" t="e">
        <f t="shared" si="12"/>
        <v>#VALUE!</v>
      </c>
    </row>
    <row r="124" spans="14:20" x14ac:dyDescent="0.35">
      <c r="N124" t="e">
        <f t="shared" si="10"/>
        <v>#N/A</v>
      </c>
      <c r="P124" t="e">
        <f t="shared" si="13"/>
        <v>#N/A</v>
      </c>
      <c r="Q124" t="e">
        <f t="shared" si="11"/>
        <v>#VALUE!</v>
      </c>
      <c r="S124" t="e">
        <f t="shared" si="14"/>
        <v>#N/A</v>
      </c>
      <c r="T124" t="e">
        <f t="shared" si="12"/>
        <v>#VALUE!</v>
      </c>
    </row>
    <row r="125" spans="14:20" x14ac:dyDescent="0.35">
      <c r="N125" t="e">
        <f t="shared" si="10"/>
        <v>#N/A</v>
      </c>
      <c r="P125" t="e">
        <f t="shared" si="13"/>
        <v>#N/A</v>
      </c>
      <c r="Q125" t="e">
        <f t="shared" si="11"/>
        <v>#VALUE!</v>
      </c>
      <c r="S125" t="e">
        <f t="shared" si="14"/>
        <v>#N/A</v>
      </c>
      <c r="T125" t="e">
        <f t="shared" si="12"/>
        <v>#VALUE!</v>
      </c>
    </row>
    <row r="126" spans="14:20" x14ac:dyDescent="0.35">
      <c r="N126" t="e">
        <f t="shared" si="10"/>
        <v>#N/A</v>
      </c>
      <c r="P126" t="e">
        <f t="shared" si="13"/>
        <v>#N/A</v>
      </c>
      <c r="Q126" t="e">
        <f t="shared" si="11"/>
        <v>#VALUE!</v>
      </c>
      <c r="S126" t="e">
        <f t="shared" si="14"/>
        <v>#N/A</v>
      </c>
      <c r="T126" t="e">
        <f t="shared" si="12"/>
        <v>#VALUE!</v>
      </c>
    </row>
    <row r="127" spans="14:20" x14ac:dyDescent="0.35">
      <c r="N127" t="e">
        <f t="shared" si="10"/>
        <v>#N/A</v>
      </c>
      <c r="P127" t="e">
        <f t="shared" si="13"/>
        <v>#N/A</v>
      </c>
      <c r="Q127" t="e">
        <f t="shared" si="11"/>
        <v>#VALUE!</v>
      </c>
      <c r="S127" t="e">
        <f t="shared" si="14"/>
        <v>#N/A</v>
      </c>
      <c r="T127" t="e">
        <f t="shared" si="12"/>
        <v>#VALUE!</v>
      </c>
    </row>
    <row r="128" spans="14:20" x14ac:dyDescent="0.35">
      <c r="N128" t="e">
        <f t="shared" si="10"/>
        <v>#N/A</v>
      </c>
      <c r="P128" t="e">
        <f t="shared" si="13"/>
        <v>#N/A</v>
      </c>
      <c r="Q128" t="e">
        <f t="shared" si="11"/>
        <v>#VALUE!</v>
      </c>
      <c r="S128" t="e">
        <f t="shared" si="14"/>
        <v>#N/A</v>
      </c>
      <c r="T128" t="e">
        <f t="shared" si="12"/>
        <v>#VALUE!</v>
      </c>
    </row>
    <row r="129" spans="14:20" x14ac:dyDescent="0.35">
      <c r="N129" t="e">
        <f t="shared" si="10"/>
        <v>#N/A</v>
      </c>
      <c r="P129" t="e">
        <f t="shared" si="13"/>
        <v>#N/A</v>
      </c>
      <c r="Q129" t="e">
        <f t="shared" si="11"/>
        <v>#VALUE!</v>
      </c>
      <c r="S129" t="e">
        <f t="shared" si="14"/>
        <v>#N/A</v>
      </c>
      <c r="T129" t="e">
        <f t="shared" si="12"/>
        <v>#VALUE!</v>
      </c>
    </row>
    <row r="130" spans="14:20" x14ac:dyDescent="0.35">
      <c r="N130" t="e">
        <f t="shared" ref="N130:N193" si="15">MOD(P130^3+a*P130+b,prime)</f>
        <v>#N/A</v>
      </c>
      <c r="P130" t="e">
        <f t="shared" si="13"/>
        <v>#N/A</v>
      </c>
      <c r="Q130" t="e">
        <f t="shared" ref="Q130:Q193" si="16">modular_sqrt(N130,prime)</f>
        <v>#VALUE!</v>
      </c>
      <c r="S130" t="e">
        <f t="shared" si="14"/>
        <v>#N/A</v>
      </c>
      <c r="T130" t="e">
        <f t="shared" ref="T130:T193" si="17">MOD(prime-Q130,prime)/Q130*Q130</f>
        <v>#VALUE!</v>
      </c>
    </row>
    <row r="131" spans="14:20" x14ac:dyDescent="0.35">
      <c r="N131" t="e">
        <f t="shared" si="15"/>
        <v>#N/A</v>
      </c>
      <c r="P131" t="e">
        <f t="shared" ref="P131:P194" si="18">IF(P130+1&lt;prime,P130+1,NA())</f>
        <v>#N/A</v>
      </c>
      <c r="Q131" t="e">
        <f t="shared" si="16"/>
        <v>#VALUE!</v>
      </c>
      <c r="S131" t="e">
        <f t="shared" ref="S131:S194" si="19">P131</f>
        <v>#N/A</v>
      </c>
      <c r="T131" t="e">
        <f t="shared" si="17"/>
        <v>#VALUE!</v>
      </c>
    </row>
    <row r="132" spans="14:20" x14ac:dyDescent="0.35">
      <c r="N132" t="e">
        <f t="shared" si="15"/>
        <v>#N/A</v>
      </c>
      <c r="P132" t="e">
        <f t="shared" si="18"/>
        <v>#N/A</v>
      </c>
      <c r="Q132" t="e">
        <f t="shared" si="16"/>
        <v>#VALUE!</v>
      </c>
      <c r="S132" t="e">
        <f t="shared" si="19"/>
        <v>#N/A</v>
      </c>
      <c r="T132" t="e">
        <f t="shared" si="17"/>
        <v>#VALUE!</v>
      </c>
    </row>
    <row r="133" spans="14:20" x14ac:dyDescent="0.35">
      <c r="N133" t="e">
        <f t="shared" si="15"/>
        <v>#N/A</v>
      </c>
      <c r="P133" t="e">
        <f t="shared" si="18"/>
        <v>#N/A</v>
      </c>
      <c r="Q133" t="e">
        <f t="shared" si="16"/>
        <v>#VALUE!</v>
      </c>
      <c r="S133" t="e">
        <f t="shared" si="19"/>
        <v>#N/A</v>
      </c>
      <c r="T133" t="e">
        <f t="shared" si="17"/>
        <v>#VALUE!</v>
      </c>
    </row>
    <row r="134" spans="14:20" x14ac:dyDescent="0.35">
      <c r="N134" t="e">
        <f t="shared" si="15"/>
        <v>#N/A</v>
      </c>
      <c r="P134" t="e">
        <f t="shared" si="18"/>
        <v>#N/A</v>
      </c>
      <c r="Q134" t="e">
        <f t="shared" si="16"/>
        <v>#VALUE!</v>
      </c>
      <c r="S134" t="e">
        <f t="shared" si="19"/>
        <v>#N/A</v>
      </c>
      <c r="T134" t="e">
        <f t="shared" si="17"/>
        <v>#VALUE!</v>
      </c>
    </row>
    <row r="135" spans="14:20" x14ac:dyDescent="0.35">
      <c r="N135" t="e">
        <f t="shared" si="15"/>
        <v>#N/A</v>
      </c>
      <c r="P135" t="e">
        <f t="shared" si="18"/>
        <v>#N/A</v>
      </c>
      <c r="Q135" t="e">
        <f t="shared" si="16"/>
        <v>#VALUE!</v>
      </c>
      <c r="S135" t="e">
        <f t="shared" si="19"/>
        <v>#N/A</v>
      </c>
      <c r="T135" t="e">
        <f t="shared" si="17"/>
        <v>#VALUE!</v>
      </c>
    </row>
    <row r="136" spans="14:20" x14ac:dyDescent="0.35">
      <c r="N136" t="e">
        <f t="shared" si="15"/>
        <v>#N/A</v>
      </c>
      <c r="P136" t="e">
        <f t="shared" si="18"/>
        <v>#N/A</v>
      </c>
      <c r="Q136" t="e">
        <f t="shared" si="16"/>
        <v>#VALUE!</v>
      </c>
      <c r="S136" t="e">
        <f t="shared" si="19"/>
        <v>#N/A</v>
      </c>
      <c r="T136" t="e">
        <f t="shared" si="17"/>
        <v>#VALUE!</v>
      </c>
    </row>
    <row r="137" spans="14:20" x14ac:dyDescent="0.35">
      <c r="N137" t="e">
        <f t="shared" si="15"/>
        <v>#N/A</v>
      </c>
      <c r="P137" t="e">
        <f t="shared" si="18"/>
        <v>#N/A</v>
      </c>
      <c r="Q137" t="e">
        <f t="shared" si="16"/>
        <v>#VALUE!</v>
      </c>
      <c r="S137" t="e">
        <f t="shared" si="19"/>
        <v>#N/A</v>
      </c>
      <c r="T137" t="e">
        <f t="shared" si="17"/>
        <v>#VALUE!</v>
      </c>
    </row>
    <row r="138" spans="14:20" x14ac:dyDescent="0.35">
      <c r="N138" t="e">
        <f t="shared" si="15"/>
        <v>#N/A</v>
      </c>
      <c r="P138" t="e">
        <f t="shared" si="18"/>
        <v>#N/A</v>
      </c>
      <c r="Q138" t="e">
        <f t="shared" si="16"/>
        <v>#VALUE!</v>
      </c>
      <c r="S138" t="e">
        <f t="shared" si="19"/>
        <v>#N/A</v>
      </c>
      <c r="T138" t="e">
        <f t="shared" si="17"/>
        <v>#VALUE!</v>
      </c>
    </row>
    <row r="139" spans="14:20" x14ac:dyDescent="0.35">
      <c r="N139" t="e">
        <f t="shared" si="15"/>
        <v>#N/A</v>
      </c>
      <c r="P139" t="e">
        <f t="shared" si="18"/>
        <v>#N/A</v>
      </c>
      <c r="Q139" t="e">
        <f t="shared" si="16"/>
        <v>#VALUE!</v>
      </c>
      <c r="S139" t="e">
        <f t="shared" si="19"/>
        <v>#N/A</v>
      </c>
      <c r="T139" t="e">
        <f t="shared" si="17"/>
        <v>#VALUE!</v>
      </c>
    </row>
    <row r="140" spans="14:20" x14ac:dyDescent="0.35">
      <c r="N140" t="e">
        <f t="shared" si="15"/>
        <v>#N/A</v>
      </c>
      <c r="P140" t="e">
        <f t="shared" si="18"/>
        <v>#N/A</v>
      </c>
      <c r="Q140" t="e">
        <f t="shared" si="16"/>
        <v>#VALUE!</v>
      </c>
      <c r="S140" t="e">
        <f t="shared" si="19"/>
        <v>#N/A</v>
      </c>
      <c r="T140" t="e">
        <f t="shared" si="17"/>
        <v>#VALUE!</v>
      </c>
    </row>
    <row r="141" spans="14:20" x14ac:dyDescent="0.35">
      <c r="N141" t="e">
        <f t="shared" si="15"/>
        <v>#N/A</v>
      </c>
      <c r="P141" t="e">
        <f t="shared" si="18"/>
        <v>#N/A</v>
      </c>
      <c r="Q141" t="e">
        <f t="shared" si="16"/>
        <v>#VALUE!</v>
      </c>
      <c r="S141" t="e">
        <f t="shared" si="19"/>
        <v>#N/A</v>
      </c>
      <c r="T141" t="e">
        <f t="shared" si="17"/>
        <v>#VALUE!</v>
      </c>
    </row>
    <row r="142" spans="14:20" x14ac:dyDescent="0.35">
      <c r="N142" t="e">
        <f t="shared" si="15"/>
        <v>#N/A</v>
      </c>
      <c r="P142" t="e">
        <f t="shared" si="18"/>
        <v>#N/A</v>
      </c>
      <c r="Q142" t="e">
        <f t="shared" si="16"/>
        <v>#VALUE!</v>
      </c>
      <c r="S142" t="e">
        <f t="shared" si="19"/>
        <v>#N/A</v>
      </c>
      <c r="T142" t="e">
        <f t="shared" si="17"/>
        <v>#VALUE!</v>
      </c>
    </row>
    <row r="143" spans="14:20" x14ac:dyDescent="0.35">
      <c r="N143" t="e">
        <f t="shared" si="15"/>
        <v>#N/A</v>
      </c>
      <c r="P143" t="e">
        <f t="shared" si="18"/>
        <v>#N/A</v>
      </c>
      <c r="Q143" t="e">
        <f t="shared" si="16"/>
        <v>#VALUE!</v>
      </c>
      <c r="S143" t="e">
        <f t="shared" si="19"/>
        <v>#N/A</v>
      </c>
      <c r="T143" t="e">
        <f t="shared" si="17"/>
        <v>#VALUE!</v>
      </c>
    </row>
    <row r="144" spans="14:20" x14ac:dyDescent="0.35">
      <c r="N144" t="e">
        <f t="shared" si="15"/>
        <v>#N/A</v>
      </c>
      <c r="P144" t="e">
        <f t="shared" si="18"/>
        <v>#N/A</v>
      </c>
      <c r="Q144" t="e">
        <f t="shared" si="16"/>
        <v>#VALUE!</v>
      </c>
      <c r="S144" t="e">
        <f t="shared" si="19"/>
        <v>#N/A</v>
      </c>
      <c r="T144" t="e">
        <f t="shared" si="17"/>
        <v>#VALUE!</v>
      </c>
    </row>
    <row r="145" spans="14:20" x14ac:dyDescent="0.35">
      <c r="N145" t="e">
        <f t="shared" si="15"/>
        <v>#N/A</v>
      </c>
      <c r="P145" t="e">
        <f t="shared" si="18"/>
        <v>#N/A</v>
      </c>
      <c r="Q145" t="e">
        <f t="shared" si="16"/>
        <v>#VALUE!</v>
      </c>
      <c r="S145" t="e">
        <f t="shared" si="19"/>
        <v>#N/A</v>
      </c>
      <c r="T145" t="e">
        <f t="shared" si="17"/>
        <v>#VALUE!</v>
      </c>
    </row>
    <row r="146" spans="14:20" x14ac:dyDescent="0.35">
      <c r="N146" t="e">
        <f t="shared" si="15"/>
        <v>#N/A</v>
      </c>
      <c r="P146" t="e">
        <f t="shared" si="18"/>
        <v>#N/A</v>
      </c>
      <c r="Q146" t="e">
        <f t="shared" si="16"/>
        <v>#VALUE!</v>
      </c>
      <c r="S146" t="e">
        <f t="shared" si="19"/>
        <v>#N/A</v>
      </c>
      <c r="T146" t="e">
        <f t="shared" si="17"/>
        <v>#VALUE!</v>
      </c>
    </row>
    <row r="147" spans="14:20" x14ac:dyDescent="0.35">
      <c r="N147" t="e">
        <f t="shared" si="15"/>
        <v>#N/A</v>
      </c>
      <c r="P147" t="e">
        <f t="shared" si="18"/>
        <v>#N/A</v>
      </c>
      <c r="Q147" t="e">
        <f t="shared" si="16"/>
        <v>#VALUE!</v>
      </c>
      <c r="S147" t="e">
        <f t="shared" si="19"/>
        <v>#N/A</v>
      </c>
      <c r="T147" t="e">
        <f t="shared" si="17"/>
        <v>#VALUE!</v>
      </c>
    </row>
    <row r="148" spans="14:20" x14ac:dyDescent="0.35">
      <c r="N148" t="e">
        <f t="shared" si="15"/>
        <v>#N/A</v>
      </c>
      <c r="P148" t="e">
        <f t="shared" si="18"/>
        <v>#N/A</v>
      </c>
      <c r="Q148" t="e">
        <f t="shared" si="16"/>
        <v>#VALUE!</v>
      </c>
      <c r="S148" t="e">
        <f t="shared" si="19"/>
        <v>#N/A</v>
      </c>
      <c r="T148" t="e">
        <f t="shared" si="17"/>
        <v>#VALUE!</v>
      </c>
    </row>
    <row r="149" spans="14:20" x14ac:dyDescent="0.35">
      <c r="N149" t="e">
        <f t="shared" si="15"/>
        <v>#N/A</v>
      </c>
      <c r="P149" t="e">
        <f t="shared" si="18"/>
        <v>#N/A</v>
      </c>
      <c r="Q149" t="e">
        <f t="shared" si="16"/>
        <v>#VALUE!</v>
      </c>
      <c r="S149" t="e">
        <f t="shared" si="19"/>
        <v>#N/A</v>
      </c>
      <c r="T149" t="e">
        <f t="shared" si="17"/>
        <v>#VALUE!</v>
      </c>
    </row>
    <row r="150" spans="14:20" x14ac:dyDescent="0.35">
      <c r="N150" t="e">
        <f t="shared" si="15"/>
        <v>#N/A</v>
      </c>
      <c r="P150" t="e">
        <f t="shared" si="18"/>
        <v>#N/A</v>
      </c>
      <c r="Q150" t="e">
        <f t="shared" si="16"/>
        <v>#VALUE!</v>
      </c>
      <c r="S150" t="e">
        <f t="shared" si="19"/>
        <v>#N/A</v>
      </c>
      <c r="T150" t="e">
        <f t="shared" si="17"/>
        <v>#VALUE!</v>
      </c>
    </row>
    <row r="151" spans="14:20" x14ac:dyDescent="0.35">
      <c r="N151" t="e">
        <f t="shared" si="15"/>
        <v>#N/A</v>
      </c>
      <c r="P151" t="e">
        <f t="shared" si="18"/>
        <v>#N/A</v>
      </c>
      <c r="Q151" t="e">
        <f t="shared" si="16"/>
        <v>#VALUE!</v>
      </c>
      <c r="S151" t="e">
        <f t="shared" si="19"/>
        <v>#N/A</v>
      </c>
      <c r="T151" t="e">
        <f t="shared" si="17"/>
        <v>#VALUE!</v>
      </c>
    </row>
    <row r="152" spans="14:20" x14ac:dyDescent="0.35">
      <c r="N152" t="e">
        <f t="shared" si="15"/>
        <v>#N/A</v>
      </c>
      <c r="P152" t="e">
        <f t="shared" si="18"/>
        <v>#N/A</v>
      </c>
      <c r="Q152" t="e">
        <f t="shared" si="16"/>
        <v>#VALUE!</v>
      </c>
      <c r="S152" t="e">
        <f t="shared" si="19"/>
        <v>#N/A</v>
      </c>
      <c r="T152" t="e">
        <f t="shared" si="17"/>
        <v>#VALUE!</v>
      </c>
    </row>
    <row r="153" spans="14:20" x14ac:dyDescent="0.35">
      <c r="N153" t="e">
        <f t="shared" si="15"/>
        <v>#N/A</v>
      </c>
      <c r="P153" t="e">
        <f t="shared" si="18"/>
        <v>#N/A</v>
      </c>
      <c r="Q153" t="e">
        <f t="shared" si="16"/>
        <v>#VALUE!</v>
      </c>
      <c r="S153" t="e">
        <f t="shared" si="19"/>
        <v>#N/A</v>
      </c>
      <c r="T153" t="e">
        <f t="shared" si="17"/>
        <v>#VALUE!</v>
      </c>
    </row>
    <row r="154" spans="14:20" x14ac:dyDescent="0.35">
      <c r="N154" t="e">
        <f t="shared" si="15"/>
        <v>#N/A</v>
      </c>
      <c r="P154" t="e">
        <f t="shared" si="18"/>
        <v>#N/A</v>
      </c>
      <c r="Q154" t="e">
        <f t="shared" si="16"/>
        <v>#VALUE!</v>
      </c>
      <c r="S154" t="e">
        <f t="shared" si="19"/>
        <v>#N/A</v>
      </c>
      <c r="T154" t="e">
        <f t="shared" si="17"/>
        <v>#VALUE!</v>
      </c>
    </row>
    <row r="155" spans="14:20" x14ac:dyDescent="0.35">
      <c r="N155" t="e">
        <f t="shared" si="15"/>
        <v>#N/A</v>
      </c>
      <c r="P155" t="e">
        <f t="shared" si="18"/>
        <v>#N/A</v>
      </c>
      <c r="Q155" t="e">
        <f t="shared" si="16"/>
        <v>#VALUE!</v>
      </c>
      <c r="S155" t="e">
        <f t="shared" si="19"/>
        <v>#N/A</v>
      </c>
      <c r="T155" t="e">
        <f t="shared" si="17"/>
        <v>#VALUE!</v>
      </c>
    </row>
    <row r="156" spans="14:20" x14ac:dyDescent="0.35">
      <c r="N156" t="e">
        <f t="shared" si="15"/>
        <v>#N/A</v>
      </c>
      <c r="P156" t="e">
        <f t="shared" si="18"/>
        <v>#N/A</v>
      </c>
      <c r="Q156" t="e">
        <f t="shared" si="16"/>
        <v>#VALUE!</v>
      </c>
      <c r="S156" t="e">
        <f t="shared" si="19"/>
        <v>#N/A</v>
      </c>
      <c r="T156" t="e">
        <f t="shared" si="17"/>
        <v>#VALUE!</v>
      </c>
    </row>
    <row r="157" spans="14:20" x14ac:dyDescent="0.35">
      <c r="N157" t="e">
        <f t="shared" si="15"/>
        <v>#N/A</v>
      </c>
      <c r="P157" t="e">
        <f t="shared" si="18"/>
        <v>#N/A</v>
      </c>
      <c r="Q157" t="e">
        <f t="shared" si="16"/>
        <v>#VALUE!</v>
      </c>
      <c r="S157" t="e">
        <f t="shared" si="19"/>
        <v>#N/A</v>
      </c>
      <c r="T157" t="e">
        <f t="shared" si="17"/>
        <v>#VALUE!</v>
      </c>
    </row>
    <row r="158" spans="14:20" x14ac:dyDescent="0.35">
      <c r="N158" t="e">
        <f t="shared" si="15"/>
        <v>#N/A</v>
      </c>
      <c r="P158" t="e">
        <f t="shared" si="18"/>
        <v>#N/A</v>
      </c>
      <c r="Q158" t="e">
        <f t="shared" si="16"/>
        <v>#VALUE!</v>
      </c>
      <c r="S158" t="e">
        <f t="shared" si="19"/>
        <v>#N/A</v>
      </c>
      <c r="T158" t="e">
        <f t="shared" si="17"/>
        <v>#VALUE!</v>
      </c>
    </row>
    <row r="159" spans="14:20" x14ac:dyDescent="0.35">
      <c r="N159" t="e">
        <f t="shared" si="15"/>
        <v>#N/A</v>
      </c>
      <c r="P159" t="e">
        <f t="shared" si="18"/>
        <v>#N/A</v>
      </c>
      <c r="Q159" t="e">
        <f t="shared" si="16"/>
        <v>#VALUE!</v>
      </c>
      <c r="S159" t="e">
        <f t="shared" si="19"/>
        <v>#N/A</v>
      </c>
      <c r="T159" t="e">
        <f t="shared" si="17"/>
        <v>#VALUE!</v>
      </c>
    </row>
    <row r="160" spans="14:20" x14ac:dyDescent="0.35">
      <c r="N160" t="e">
        <f t="shared" si="15"/>
        <v>#N/A</v>
      </c>
      <c r="P160" t="e">
        <f t="shared" si="18"/>
        <v>#N/A</v>
      </c>
      <c r="Q160" t="e">
        <f t="shared" si="16"/>
        <v>#VALUE!</v>
      </c>
      <c r="S160" t="e">
        <f t="shared" si="19"/>
        <v>#N/A</v>
      </c>
      <c r="T160" t="e">
        <f t="shared" si="17"/>
        <v>#VALUE!</v>
      </c>
    </row>
    <row r="161" spans="14:20" x14ac:dyDescent="0.35">
      <c r="N161" t="e">
        <f t="shared" si="15"/>
        <v>#N/A</v>
      </c>
      <c r="P161" t="e">
        <f t="shared" si="18"/>
        <v>#N/A</v>
      </c>
      <c r="Q161" t="e">
        <f t="shared" si="16"/>
        <v>#VALUE!</v>
      </c>
      <c r="S161" t="e">
        <f t="shared" si="19"/>
        <v>#N/A</v>
      </c>
      <c r="T161" t="e">
        <f t="shared" si="17"/>
        <v>#VALUE!</v>
      </c>
    </row>
    <row r="162" spans="14:20" x14ac:dyDescent="0.35">
      <c r="N162" t="e">
        <f t="shared" si="15"/>
        <v>#N/A</v>
      </c>
      <c r="P162" t="e">
        <f t="shared" si="18"/>
        <v>#N/A</v>
      </c>
      <c r="Q162" t="e">
        <f t="shared" si="16"/>
        <v>#VALUE!</v>
      </c>
      <c r="S162" t="e">
        <f t="shared" si="19"/>
        <v>#N/A</v>
      </c>
      <c r="T162" t="e">
        <f t="shared" si="17"/>
        <v>#VALUE!</v>
      </c>
    </row>
    <row r="163" spans="14:20" x14ac:dyDescent="0.35">
      <c r="N163" t="e">
        <f t="shared" si="15"/>
        <v>#N/A</v>
      </c>
      <c r="P163" t="e">
        <f t="shared" si="18"/>
        <v>#N/A</v>
      </c>
      <c r="Q163" t="e">
        <f t="shared" si="16"/>
        <v>#VALUE!</v>
      </c>
      <c r="S163" t="e">
        <f t="shared" si="19"/>
        <v>#N/A</v>
      </c>
      <c r="T163" t="e">
        <f t="shared" si="17"/>
        <v>#VALUE!</v>
      </c>
    </row>
    <row r="164" spans="14:20" x14ac:dyDescent="0.35">
      <c r="N164" t="e">
        <f t="shared" si="15"/>
        <v>#N/A</v>
      </c>
      <c r="P164" t="e">
        <f t="shared" si="18"/>
        <v>#N/A</v>
      </c>
      <c r="Q164" t="e">
        <f t="shared" si="16"/>
        <v>#VALUE!</v>
      </c>
      <c r="S164" t="e">
        <f t="shared" si="19"/>
        <v>#N/A</v>
      </c>
      <c r="T164" t="e">
        <f t="shared" si="17"/>
        <v>#VALUE!</v>
      </c>
    </row>
    <row r="165" spans="14:20" x14ac:dyDescent="0.35">
      <c r="N165" t="e">
        <f t="shared" si="15"/>
        <v>#N/A</v>
      </c>
      <c r="P165" t="e">
        <f t="shared" si="18"/>
        <v>#N/A</v>
      </c>
      <c r="Q165" t="e">
        <f t="shared" si="16"/>
        <v>#VALUE!</v>
      </c>
      <c r="S165" t="e">
        <f t="shared" si="19"/>
        <v>#N/A</v>
      </c>
      <c r="T165" t="e">
        <f t="shared" si="17"/>
        <v>#VALUE!</v>
      </c>
    </row>
    <row r="166" spans="14:20" x14ac:dyDescent="0.35">
      <c r="N166" t="e">
        <f t="shared" si="15"/>
        <v>#N/A</v>
      </c>
      <c r="P166" t="e">
        <f t="shared" si="18"/>
        <v>#N/A</v>
      </c>
      <c r="Q166" t="e">
        <f t="shared" si="16"/>
        <v>#VALUE!</v>
      </c>
      <c r="S166" t="e">
        <f t="shared" si="19"/>
        <v>#N/A</v>
      </c>
      <c r="T166" t="e">
        <f t="shared" si="17"/>
        <v>#VALUE!</v>
      </c>
    </row>
    <row r="167" spans="14:20" x14ac:dyDescent="0.35">
      <c r="N167" t="e">
        <f t="shared" si="15"/>
        <v>#N/A</v>
      </c>
      <c r="P167" t="e">
        <f t="shared" si="18"/>
        <v>#N/A</v>
      </c>
      <c r="Q167" t="e">
        <f t="shared" si="16"/>
        <v>#VALUE!</v>
      </c>
      <c r="S167" t="e">
        <f t="shared" si="19"/>
        <v>#N/A</v>
      </c>
      <c r="T167" t="e">
        <f t="shared" si="17"/>
        <v>#VALUE!</v>
      </c>
    </row>
    <row r="168" spans="14:20" x14ac:dyDescent="0.35">
      <c r="N168" t="e">
        <f t="shared" si="15"/>
        <v>#N/A</v>
      </c>
      <c r="P168" t="e">
        <f t="shared" si="18"/>
        <v>#N/A</v>
      </c>
      <c r="Q168" t="e">
        <f t="shared" si="16"/>
        <v>#VALUE!</v>
      </c>
      <c r="S168" t="e">
        <f t="shared" si="19"/>
        <v>#N/A</v>
      </c>
      <c r="T168" t="e">
        <f t="shared" si="17"/>
        <v>#VALUE!</v>
      </c>
    </row>
    <row r="169" spans="14:20" x14ac:dyDescent="0.35">
      <c r="N169" t="e">
        <f t="shared" si="15"/>
        <v>#N/A</v>
      </c>
      <c r="P169" t="e">
        <f t="shared" si="18"/>
        <v>#N/A</v>
      </c>
      <c r="Q169" t="e">
        <f t="shared" si="16"/>
        <v>#VALUE!</v>
      </c>
      <c r="S169" t="e">
        <f t="shared" si="19"/>
        <v>#N/A</v>
      </c>
      <c r="T169" t="e">
        <f t="shared" si="17"/>
        <v>#VALUE!</v>
      </c>
    </row>
    <row r="170" spans="14:20" x14ac:dyDescent="0.35">
      <c r="N170" t="e">
        <f t="shared" si="15"/>
        <v>#N/A</v>
      </c>
      <c r="P170" t="e">
        <f t="shared" si="18"/>
        <v>#N/A</v>
      </c>
      <c r="Q170" t="e">
        <f t="shared" si="16"/>
        <v>#VALUE!</v>
      </c>
      <c r="S170" t="e">
        <f t="shared" si="19"/>
        <v>#N/A</v>
      </c>
      <c r="T170" t="e">
        <f t="shared" si="17"/>
        <v>#VALUE!</v>
      </c>
    </row>
    <row r="171" spans="14:20" x14ac:dyDescent="0.35">
      <c r="N171" t="e">
        <f t="shared" si="15"/>
        <v>#N/A</v>
      </c>
      <c r="P171" t="e">
        <f t="shared" si="18"/>
        <v>#N/A</v>
      </c>
      <c r="Q171" t="e">
        <f t="shared" si="16"/>
        <v>#VALUE!</v>
      </c>
      <c r="S171" t="e">
        <f t="shared" si="19"/>
        <v>#N/A</v>
      </c>
      <c r="T171" t="e">
        <f t="shared" si="17"/>
        <v>#VALUE!</v>
      </c>
    </row>
    <row r="172" spans="14:20" x14ac:dyDescent="0.35">
      <c r="N172" t="e">
        <f t="shared" si="15"/>
        <v>#N/A</v>
      </c>
      <c r="P172" t="e">
        <f t="shared" si="18"/>
        <v>#N/A</v>
      </c>
      <c r="Q172" t="e">
        <f t="shared" si="16"/>
        <v>#VALUE!</v>
      </c>
      <c r="S172" t="e">
        <f t="shared" si="19"/>
        <v>#N/A</v>
      </c>
      <c r="T172" t="e">
        <f t="shared" si="17"/>
        <v>#VALUE!</v>
      </c>
    </row>
    <row r="173" spans="14:20" x14ac:dyDescent="0.35">
      <c r="N173" t="e">
        <f t="shared" si="15"/>
        <v>#N/A</v>
      </c>
      <c r="P173" t="e">
        <f t="shared" si="18"/>
        <v>#N/A</v>
      </c>
      <c r="Q173" t="e">
        <f t="shared" si="16"/>
        <v>#VALUE!</v>
      </c>
      <c r="S173" t="e">
        <f t="shared" si="19"/>
        <v>#N/A</v>
      </c>
      <c r="T173" t="e">
        <f t="shared" si="17"/>
        <v>#VALUE!</v>
      </c>
    </row>
    <row r="174" spans="14:20" x14ac:dyDescent="0.35">
      <c r="N174" t="e">
        <f t="shared" si="15"/>
        <v>#N/A</v>
      </c>
      <c r="P174" t="e">
        <f t="shared" si="18"/>
        <v>#N/A</v>
      </c>
      <c r="Q174" t="e">
        <f t="shared" si="16"/>
        <v>#VALUE!</v>
      </c>
      <c r="S174" t="e">
        <f t="shared" si="19"/>
        <v>#N/A</v>
      </c>
      <c r="T174" t="e">
        <f t="shared" si="17"/>
        <v>#VALUE!</v>
      </c>
    </row>
    <row r="175" spans="14:20" x14ac:dyDescent="0.35">
      <c r="N175" t="e">
        <f t="shared" si="15"/>
        <v>#N/A</v>
      </c>
      <c r="P175" t="e">
        <f t="shared" si="18"/>
        <v>#N/A</v>
      </c>
      <c r="Q175" t="e">
        <f t="shared" si="16"/>
        <v>#VALUE!</v>
      </c>
      <c r="S175" t="e">
        <f t="shared" si="19"/>
        <v>#N/A</v>
      </c>
      <c r="T175" t="e">
        <f t="shared" si="17"/>
        <v>#VALUE!</v>
      </c>
    </row>
    <row r="176" spans="14:20" x14ac:dyDescent="0.35">
      <c r="N176" t="e">
        <f t="shared" si="15"/>
        <v>#N/A</v>
      </c>
      <c r="P176" t="e">
        <f t="shared" si="18"/>
        <v>#N/A</v>
      </c>
      <c r="Q176" t="e">
        <f t="shared" si="16"/>
        <v>#VALUE!</v>
      </c>
      <c r="S176" t="e">
        <f t="shared" si="19"/>
        <v>#N/A</v>
      </c>
      <c r="T176" t="e">
        <f t="shared" si="17"/>
        <v>#VALUE!</v>
      </c>
    </row>
    <row r="177" spans="14:20" x14ac:dyDescent="0.35">
      <c r="N177" t="e">
        <f t="shared" si="15"/>
        <v>#N/A</v>
      </c>
      <c r="P177" t="e">
        <f t="shared" si="18"/>
        <v>#N/A</v>
      </c>
      <c r="Q177" t="e">
        <f t="shared" si="16"/>
        <v>#VALUE!</v>
      </c>
      <c r="S177" t="e">
        <f t="shared" si="19"/>
        <v>#N/A</v>
      </c>
      <c r="T177" t="e">
        <f t="shared" si="17"/>
        <v>#VALUE!</v>
      </c>
    </row>
    <row r="178" spans="14:20" x14ac:dyDescent="0.35">
      <c r="N178" t="e">
        <f t="shared" si="15"/>
        <v>#N/A</v>
      </c>
      <c r="P178" t="e">
        <f t="shared" si="18"/>
        <v>#N/A</v>
      </c>
      <c r="Q178" t="e">
        <f t="shared" si="16"/>
        <v>#VALUE!</v>
      </c>
      <c r="S178" t="e">
        <f t="shared" si="19"/>
        <v>#N/A</v>
      </c>
      <c r="T178" t="e">
        <f t="shared" si="17"/>
        <v>#VALUE!</v>
      </c>
    </row>
    <row r="179" spans="14:20" x14ac:dyDescent="0.35">
      <c r="N179" t="e">
        <f t="shared" si="15"/>
        <v>#N/A</v>
      </c>
      <c r="P179" t="e">
        <f t="shared" si="18"/>
        <v>#N/A</v>
      </c>
      <c r="Q179" t="e">
        <f t="shared" si="16"/>
        <v>#VALUE!</v>
      </c>
      <c r="S179" t="e">
        <f t="shared" si="19"/>
        <v>#N/A</v>
      </c>
      <c r="T179" t="e">
        <f t="shared" si="17"/>
        <v>#VALUE!</v>
      </c>
    </row>
    <row r="180" spans="14:20" x14ac:dyDescent="0.35">
      <c r="N180" t="e">
        <f t="shared" si="15"/>
        <v>#N/A</v>
      </c>
      <c r="P180" t="e">
        <f t="shared" si="18"/>
        <v>#N/A</v>
      </c>
      <c r="Q180" t="e">
        <f t="shared" si="16"/>
        <v>#VALUE!</v>
      </c>
      <c r="S180" t="e">
        <f t="shared" si="19"/>
        <v>#N/A</v>
      </c>
      <c r="T180" t="e">
        <f t="shared" si="17"/>
        <v>#VALUE!</v>
      </c>
    </row>
    <row r="181" spans="14:20" x14ac:dyDescent="0.35">
      <c r="N181" t="e">
        <f t="shared" si="15"/>
        <v>#N/A</v>
      </c>
      <c r="P181" t="e">
        <f t="shared" si="18"/>
        <v>#N/A</v>
      </c>
      <c r="Q181" t="e">
        <f t="shared" si="16"/>
        <v>#VALUE!</v>
      </c>
      <c r="S181" t="e">
        <f t="shared" si="19"/>
        <v>#N/A</v>
      </c>
      <c r="T181" t="e">
        <f t="shared" si="17"/>
        <v>#VALUE!</v>
      </c>
    </row>
    <row r="182" spans="14:20" x14ac:dyDescent="0.35">
      <c r="N182" t="e">
        <f t="shared" si="15"/>
        <v>#N/A</v>
      </c>
      <c r="P182" t="e">
        <f t="shared" si="18"/>
        <v>#N/A</v>
      </c>
      <c r="Q182" t="e">
        <f t="shared" si="16"/>
        <v>#VALUE!</v>
      </c>
      <c r="S182" t="e">
        <f t="shared" si="19"/>
        <v>#N/A</v>
      </c>
      <c r="T182" t="e">
        <f t="shared" si="17"/>
        <v>#VALUE!</v>
      </c>
    </row>
    <row r="183" spans="14:20" x14ac:dyDescent="0.35">
      <c r="N183" t="e">
        <f t="shared" si="15"/>
        <v>#N/A</v>
      </c>
      <c r="P183" t="e">
        <f t="shared" si="18"/>
        <v>#N/A</v>
      </c>
      <c r="Q183" t="e">
        <f t="shared" si="16"/>
        <v>#VALUE!</v>
      </c>
      <c r="S183" t="e">
        <f t="shared" si="19"/>
        <v>#N/A</v>
      </c>
      <c r="T183" t="e">
        <f t="shared" si="17"/>
        <v>#VALUE!</v>
      </c>
    </row>
    <row r="184" spans="14:20" x14ac:dyDescent="0.35">
      <c r="N184" t="e">
        <f t="shared" si="15"/>
        <v>#N/A</v>
      </c>
      <c r="P184" t="e">
        <f t="shared" si="18"/>
        <v>#N/A</v>
      </c>
      <c r="Q184" t="e">
        <f t="shared" si="16"/>
        <v>#VALUE!</v>
      </c>
      <c r="S184" t="e">
        <f t="shared" si="19"/>
        <v>#N/A</v>
      </c>
      <c r="T184" t="e">
        <f t="shared" si="17"/>
        <v>#VALUE!</v>
      </c>
    </row>
    <row r="185" spans="14:20" x14ac:dyDescent="0.35">
      <c r="N185" t="e">
        <f t="shared" si="15"/>
        <v>#N/A</v>
      </c>
      <c r="P185" t="e">
        <f t="shared" si="18"/>
        <v>#N/A</v>
      </c>
      <c r="Q185" t="e">
        <f t="shared" si="16"/>
        <v>#VALUE!</v>
      </c>
      <c r="S185" t="e">
        <f t="shared" si="19"/>
        <v>#N/A</v>
      </c>
      <c r="T185" t="e">
        <f t="shared" si="17"/>
        <v>#VALUE!</v>
      </c>
    </row>
    <row r="186" spans="14:20" x14ac:dyDescent="0.35">
      <c r="N186" t="e">
        <f t="shared" si="15"/>
        <v>#N/A</v>
      </c>
      <c r="P186" t="e">
        <f t="shared" si="18"/>
        <v>#N/A</v>
      </c>
      <c r="Q186" t="e">
        <f t="shared" si="16"/>
        <v>#VALUE!</v>
      </c>
      <c r="S186" t="e">
        <f t="shared" si="19"/>
        <v>#N/A</v>
      </c>
      <c r="T186" t="e">
        <f t="shared" si="17"/>
        <v>#VALUE!</v>
      </c>
    </row>
    <row r="187" spans="14:20" x14ac:dyDescent="0.35">
      <c r="N187" t="e">
        <f t="shared" si="15"/>
        <v>#N/A</v>
      </c>
      <c r="P187" t="e">
        <f t="shared" si="18"/>
        <v>#N/A</v>
      </c>
      <c r="Q187" t="e">
        <f t="shared" si="16"/>
        <v>#VALUE!</v>
      </c>
      <c r="S187" t="e">
        <f t="shared" si="19"/>
        <v>#N/A</v>
      </c>
      <c r="T187" t="e">
        <f t="shared" si="17"/>
        <v>#VALUE!</v>
      </c>
    </row>
    <row r="188" spans="14:20" x14ac:dyDescent="0.35">
      <c r="N188" t="e">
        <f t="shared" si="15"/>
        <v>#N/A</v>
      </c>
      <c r="P188" t="e">
        <f t="shared" si="18"/>
        <v>#N/A</v>
      </c>
      <c r="Q188" t="e">
        <f t="shared" si="16"/>
        <v>#VALUE!</v>
      </c>
      <c r="S188" t="e">
        <f t="shared" si="19"/>
        <v>#N/A</v>
      </c>
      <c r="T188" t="e">
        <f t="shared" si="17"/>
        <v>#VALUE!</v>
      </c>
    </row>
    <row r="189" spans="14:20" x14ac:dyDescent="0.35">
      <c r="N189" t="e">
        <f t="shared" si="15"/>
        <v>#N/A</v>
      </c>
      <c r="P189" t="e">
        <f t="shared" si="18"/>
        <v>#N/A</v>
      </c>
      <c r="Q189" t="e">
        <f t="shared" si="16"/>
        <v>#VALUE!</v>
      </c>
      <c r="S189" t="e">
        <f t="shared" si="19"/>
        <v>#N/A</v>
      </c>
      <c r="T189" t="e">
        <f t="shared" si="17"/>
        <v>#VALUE!</v>
      </c>
    </row>
    <row r="190" spans="14:20" x14ac:dyDescent="0.35">
      <c r="N190" t="e">
        <f t="shared" si="15"/>
        <v>#N/A</v>
      </c>
      <c r="P190" t="e">
        <f t="shared" si="18"/>
        <v>#N/A</v>
      </c>
      <c r="Q190" t="e">
        <f t="shared" si="16"/>
        <v>#VALUE!</v>
      </c>
      <c r="S190" t="e">
        <f t="shared" si="19"/>
        <v>#N/A</v>
      </c>
      <c r="T190" t="e">
        <f t="shared" si="17"/>
        <v>#VALUE!</v>
      </c>
    </row>
    <row r="191" spans="14:20" x14ac:dyDescent="0.35">
      <c r="N191" t="e">
        <f t="shared" si="15"/>
        <v>#N/A</v>
      </c>
      <c r="P191" t="e">
        <f t="shared" si="18"/>
        <v>#N/A</v>
      </c>
      <c r="Q191" t="e">
        <f t="shared" si="16"/>
        <v>#VALUE!</v>
      </c>
      <c r="S191" t="e">
        <f t="shared" si="19"/>
        <v>#N/A</v>
      </c>
      <c r="T191" t="e">
        <f t="shared" si="17"/>
        <v>#VALUE!</v>
      </c>
    </row>
    <row r="192" spans="14:20" x14ac:dyDescent="0.35">
      <c r="N192" t="e">
        <f t="shared" si="15"/>
        <v>#N/A</v>
      </c>
      <c r="P192" t="e">
        <f t="shared" si="18"/>
        <v>#N/A</v>
      </c>
      <c r="Q192" t="e">
        <f t="shared" si="16"/>
        <v>#VALUE!</v>
      </c>
      <c r="S192" t="e">
        <f t="shared" si="19"/>
        <v>#N/A</v>
      </c>
      <c r="T192" t="e">
        <f t="shared" si="17"/>
        <v>#VALUE!</v>
      </c>
    </row>
    <row r="193" spans="14:20" x14ac:dyDescent="0.35">
      <c r="N193" t="e">
        <f t="shared" si="15"/>
        <v>#N/A</v>
      </c>
      <c r="P193" t="e">
        <f t="shared" si="18"/>
        <v>#N/A</v>
      </c>
      <c r="Q193" t="e">
        <f t="shared" si="16"/>
        <v>#VALUE!</v>
      </c>
      <c r="S193" t="e">
        <f t="shared" si="19"/>
        <v>#N/A</v>
      </c>
      <c r="T193" t="e">
        <f t="shared" si="17"/>
        <v>#VALUE!</v>
      </c>
    </row>
    <row r="194" spans="14:20" x14ac:dyDescent="0.35">
      <c r="N194" t="e">
        <f t="shared" ref="N194:N257" si="20">MOD(P194^3+a*P194+b,prime)</f>
        <v>#N/A</v>
      </c>
      <c r="P194" t="e">
        <f t="shared" si="18"/>
        <v>#N/A</v>
      </c>
      <c r="Q194" t="e">
        <f t="shared" ref="Q194:Q257" si="21">modular_sqrt(N194,prime)</f>
        <v>#VALUE!</v>
      </c>
      <c r="S194" t="e">
        <f t="shared" si="19"/>
        <v>#N/A</v>
      </c>
      <c r="T194" t="e">
        <f t="shared" ref="T194:T257" si="22">MOD(prime-Q194,prime)/Q194*Q194</f>
        <v>#VALUE!</v>
      </c>
    </row>
    <row r="195" spans="14:20" x14ac:dyDescent="0.35">
      <c r="N195" t="e">
        <f t="shared" si="20"/>
        <v>#N/A</v>
      </c>
      <c r="P195" t="e">
        <f t="shared" ref="P195:P258" si="23">IF(P194+1&lt;prime,P194+1,NA())</f>
        <v>#N/A</v>
      </c>
      <c r="Q195" t="e">
        <f t="shared" si="21"/>
        <v>#VALUE!</v>
      </c>
      <c r="S195" t="e">
        <f t="shared" ref="S195:S258" si="24">P195</f>
        <v>#N/A</v>
      </c>
      <c r="T195" t="e">
        <f t="shared" si="22"/>
        <v>#VALUE!</v>
      </c>
    </row>
    <row r="196" spans="14:20" x14ac:dyDescent="0.35">
      <c r="N196" t="e">
        <f t="shared" si="20"/>
        <v>#N/A</v>
      </c>
      <c r="P196" t="e">
        <f t="shared" si="23"/>
        <v>#N/A</v>
      </c>
      <c r="Q196" t="e">
        <f t="shared" si="21"/>
        <v>#VALUE!</v>
      </c>
      <c r="S196" t="e">
        <f t="shared" si="24"/>
        <v>#N/A</v>
      </c>
      <c r="T196" t="e">
        <f t="shared" si="22"/>
        <v>#VALUE!</v>
      </c>
    </row>
    <row r="197" spans="14:20" x14ac:dyDescent="0.35">
      <c r="N197" t="e">
        <f t="shared" si="20"/>
        <v>#N/A</v>
      </c>
      <c r="P197" t="e">
        <f t="shared" si="23"/>
        <v>#N/A</v>
      </c>
      <c r="Q197" t="e">
        <f t="shared" si="21"/>
        <v>#VALUE!</v>
      </c>
      <c r="S197" t="e">
        <f t="shared" si="24"/>
        <v>#N/A</v>
      </c>
      <c r="T197" t="e">
        <f t="shared" si="22"/>
        <v>#VALUE!</v>
      </c>
    </row>
    <row r="198" spans="14:20" x14ac:dyDescent="0.35">
      <c r="N198" t="e">
        <f t="shared" si="20"/>
        <v>#N/A</v>
      </c>
      <c r="P198" t="e">
        <f t="shared" si="23"/>
        <v>#N/A</v>
      </c>
      <c r="Q198" t="e">
        <f t="shared" si="21"/>
        <v>#VALUE!</v>
      </c>
      <c r="S198" t="e">
        <f t="shared" si="24"/>
        <v>#N/A</v>
      </c>
      <c r="T198" t="e">
        <f t="shared" si="22"/>
        <v>#VALUE!</v>
      </c>
    </row>
    <row r="199" spans="14:20" x14ac:dyDescent="0.35">
      <c r="N199" t="e">
        <f t="shared" si="20"/>
        <v>#N/A</v>
      </c>
      <c r="P199" t="e">
        <f t="shared" si="23"/>
        <v>#N/A</v>
      </c>
      <c r="Q199" t="e">
        <f t="shared" si="21"/>
        <v>#VALUE!</v>
      </c>
      <c r="S199" t="e">
        <f t="shared" si="24"/>
        <v>#N/A</v>
      </c>
      <c r="T199" t="e">
        <f t="shared" si="22"/>
        <v>#VALUE!</v>
      </c>
    </row>
    <row r="200" spans="14:20" x14ac:dyDescent="0.35">
      <c r="N200" t="e">
        <f t="shared" si="20"/>
        <v>#N/A</v>
      </c>
      <c r="P200" t="e">
        <f t="shared" si="23"/>
        <v>#N/A</v>
      </c>
      <c r="Q200" t="e">
        <f t="shared" si="21"/>
        <v>#VALUE!</v>
      </c>
      <c r="S200" t="e">
        <f t="shared" si="24"/>
        <v>#N/A</v>
      </c>
      <c r="T200" t="e">
        <f t="shared" si="22"/>
        <v>#VALUE!</v>
      </c>
    </row>
    <row r="201" spans="14:20" x14ac:dyDescent="0.35">
      <c r="N201" t="e">
        <f t="shared" si="20"/>
        <v>#N/A</v>
      </c>
      <c r="P201" t="e">
        <f t="shared" si="23"/>
        <v>#N/A</v>
      </c>
      <c r="Q201" t="e">
        <f t="shared" si="21"/>
        <v>#VALUE!</v>
      </c>
      <c r="S201" t="e">
        <f t="shared" si="24"/>
        <v>#N/A</v>
      </c>
      <c r="T201" t="e">
        <f t="shared" si="22"/>
        <v>#VALUE!</v>
      </c>
    </row>
    <row r="202" spans="14:20" x14ac:dyDescent="0.35">
      <c r="N202" t="e">
        <f t="shared" si="20"/>
        <v>#N/A</v>
      </c>
      <c r="P202" t="e">
        <f t="shared" si="23"/>
        <v>#N/A</v>
      </c>
      <c r="Q202" t="e">
        <f t="shared" si="21"/>
        <v>#VALUE!</v>
      </c>
      <c r="S202" t="e">
        <f t="shared" si="24"/>
        <v>#N/A</v>
      </c>
      <c r="T202" t="e">
        <f t="shared" si="22"/>
        <v>#VALUE!</v>
      </c>
    </row>
    <row r="203" spans="14:20" x14ac:dyDescent="0.35">
      <c r="N203" t="e">
        <f t="shared" si="20"/>
        <v>#N/A</v>
      </c>
      <c r="P203" t="e">
        <f t="shared" si="23"/>
        <v>#N/A</v>
      </c>
      <c r="Q203" t="e">
        <f t="shared" si="21"/>
        <v>#VALUE!</v>
      </c>
      <c r="S203" t="e">
        <f t="shared" si="24"/>
        <v>#N/A</v>
      </c>
      <c r="T203" t="e">
        <f t="shared" si="22"/>
        <v>#VALUE!</v>
      </c>
    </row>
    <row r="204" spans="14:20" x14ac:dyDescent="0.35">
      <c r="N204" t="e">
        <f t="shared" si="20"/>
        <v>#N/A</v>
      </c>
      <c r="P204" t="e">
        <f t="shared" si="23"/>
        <v>#N/A</v>
      </c>
      <c r="Q204" t="e">
        <f t="shared" si="21"/>
        <v>#VALUE!</v>
      </c>
      <c r="S204" t="e">
        <f t="shared" si="24"/>
        <v>#N/A</v>
      </c>
      <c r="T204" t="e">
        <f t="shared" si="22"/>
        <v>#VALUE!</v>
      </c>
    </row>
    <row r="205" spans="14:20" x14ac:dyDescent="0.35">
      <c r="N205" t="e">
        <f t="shared" si="20"/>
        <v>#N/A</v>
      </c>
      <c r="P205" t="e">
        <f t="shared" si="23"/>
        <v>#N/A</v>
      </c>
      <c r="Q205" t="e">
        <f t="shared" si="21"/>
        <v>#VALUE!</v>
      </c>
      <c r="S205" t="e">
        <f t="shared" si="24"/>
        <v>#N/A</v>
      </c>
      <c r="T205" t="e">
        <f t="shared" si="22"/>
        <v>#VALUE!</v>
      </c>
    </row>
    <row r="206" spans="14:20" x14ac:dyDescent="0.35">
      <c r="N206" t="e">
        <f t="shared" si="20"/>
        <v>#N/A</v>
      </c>
      <c r="P206" t="e">
        <f t="shared" si="23"/>
        <v>#N/A</v>
      </c>
      <c r="Q206" t="e">
        <f t="shared" si="21"/>
        <v>#VALUE!</v>
      </c>
      <c r="S206" t="e">
        <f t="shared" si="24"/>
        <v>#N/A</v>
      </c>
      <c r="T206" t="e">
        <f t="shared" si="22"/>
        <v>#VALUE!</v>
      </c>
    </row>
    <row r="207" spans="14:20" x14ac:dyDescent="0.35">
      <c r="N207" t="e">
        <f t="shared" si="20"/>
        <v>#N/A</v>
      </c>
      <c r="P207" t="e">
        <f t="shared" si="23"/>
        <v>#N/A</v>
      </c>
      <c r="Q207" t="e">
        <f t="shared" si="21"/>
        <v>#VALUE!</v>
      </c>
      <c r="S207" t="e">
        <f t="shared" si="24"/>
        <v>#N/A</v>
      </c>
      <c r="T207" t="e">
        <f t="shared" si="22"/>
        <v>#VALUE!</v>
      </c>
    </row>
    <row r="208" spans="14:20" x14ac:dyDescent="0.35">
      <c r="N208" t="e">
        <f t="shared" si="20"/>
        <v>#N/A</v>
      </c>
      <c r="P208" t="e">
        <f t="shared" si="23"/>
        <v>#N/A</v>
      </c>
      <c r="Q208" t="e">
        <f t="shared" si="21"/>
        <v>#VALUE!</v>
      </c>
      <c r="S208" t="e">
        <f t="shared" si="24"/>
        <v>#N/A</v>
      </c>
      <c r="T208" t="e">
        <f t="shared" si="22"/>
        <v>#VALUE!</v>
      </c>
    </row>
    <row r="209" spans="14:20" x14ac:dyDescent="0.35">
      <c r="N209" t="e">
        <f t="shared" si="20"/>
        <v>#N/A</v>
      </c>
      <c r="P209" t="e">
        <f t="shared" si="23"/>
        <v>#N/A</v>
      </c>
      <c r="Q209" t="e">
        <f t="shared" si="21"/>
        <v>#VALUE!</v>
      </c>
      <c r="S209" t="e">
        <f t="shared" si="24"/>
        <v>#N/A</v>
      </c>
      <c r="T209" t="e">
        <f t="shared" si="22"/>
        <v>#VALUE!</v>
      </c>
    </row>
    <row r="210" spans="14:20" x14ac:dyDescent="0.35">
      <c r="N210" t="e">
        <f t="shared" si="20"/>
        <v>#N/A</v>
      </c>
      <c r="P210" t="e">
        <f t="shared" si="23"/>
        <v>#N/A</v>
      </c>
      <c r="Q210" t="e">
        <f t="shared" si="21"/>
        <v>#VALUE!</v>
      </c>
      <c r="S210" t="e">
        <f t="shared" si="24"/>
        <v>#N/A</v>
      </c>
      <c r="T210" t="e">
        <f t="shared" si="22"/>
        <v>#VALUE!</v>
      </c>
    </row>
    <row r="211" spans="14:20" x14ac:dyDescent="0.35">
      <c r="N211" t="e">
        <f t="shared" si="20"/>
        <v>#N/A</v>
      </c>
      <c r="P211" t="e">
        <f t="shared" si="23"/>
        <v>#N/A</v>
      </c>
      <c r="Q211" t="e">
        <f t="shared" si="21"/>
        <v>#VALUE!</v>
      </c>
      <c r="S211" t="e">
        <f t="shared" si="24"/>
        <v>#N/A</v>
      </c>
      <c r="T211" t="e">
        <f t="shared" si="22"/>
        <v>#VALUE!</v>
      </c>
    </row>
    <row r="212" spans="14:20" x14ac:dyDescent="0.35">
      <c r="N212" t="e">
        <f t="shared" si="20"/>
        <v>#N/A</v>
      </c>
      <c r="P212" t="e">
        <f t="shared" si="23"/>
        <v>#N/A</v>
      </c>
      <c r="Q212" t="e">
        <f t="shared" si="21"/>
        <v>#VALUE!</v>
      </c>
      <c r="S212" t="e">
        <f t="shared" si="24"/>
        <v>#N/A</v>
      </c>
      <c r="T212" t="e">
        <f t="shared" si="22"/>
        <v>#VALUE!</v>
      </c>
    </row>
    <row r="213" spans="14:20" x14ac:dyDescent="0.35">
      <c r="N213" t="e">
        <f t="shared" si="20"/>
        <v>#N/A</v>
      </c>
      <c r="P213" t="e">
        <f t="shared" si="23"/>
        <v>#N/A</v>
      </c>
      <c r="Q213" t="e">
        <f t="shared" si="21"/>
        <v>#VALUE!</v>
      </c>
      <c r="S213" t="e">
        <f t="shared" si="24"/>
        <v>#N/A</v>
      </c>
      <c r="T213" t="e">
        <f t="shared" si="22"/>
        <v>#VALUE!</v>
      </c>
    </row>
    <row r="214" spans="14:20" x14ac:dyDescent="0.35">
      <c r="N214" t="e">
        <f t="shared" si="20"/>
        <v>#N/A</v>
      </c>
      <c r="P214" t="e">
        <f t="shared" si="23"/>
        <v>#N/A</v>
      </c>
      <c r="Q214" t="e">
        <f t="shared" si="21"/>
        <v>#VALUE!</v>
      </c>
      <c r="S214" t="e">
        <f t="shared" si="24"/>
        <v>#N/A</v>
      </c>
      <c r="T214" t="e">
        <f t="shared" si="22"/>
        <v>#VALUE!</v>
      </c>
    </row>
    <row r="215" spans="14:20" x14ac:dyDescent="0.35">
      <c r="N215" t="e">
        <f t="shared" si="20"/>
        <v>#N/A</v>
      </c>
      <c r="P215" t="e">
        <f t="shared" si="23"/>
        <v>#N/A</v>
      </c>
      <c r="Q215" t="e">
        <f t="shared" si="21"/>
        <v>#VALUE!</v>
      </c>
      <c r="S215" t="e">
        <f t="shared" si="24"/>
        <v>#N/A</v>
      </c>
      <c r="T215" t="e">
        <f t="shared" si="22"/>
        <v>#VALUE!</v>
      </c>
    </row>
    <row r="216" spans="14:20" x14ac:dyDescent="0.35">
      <c r="N216" t="e">
        <f t="shared" si="20"/>
        <v>#N/A</v>
      </c>
      <c r="P216" t="e">
        <f t="shared" si="23"/>
        <v>#N/A</v>
      </c>
      <c r="Q216" t="e">
        <f t="shared" si="21"/>
        <v>#VALUE!</v>
      </c>
      <c r="S216" t="e">
        <f t="shared" si="24"/>
        <v>#N/A</v>
      </c>
      <c r="T216" t="e">
        <f t="shared" si="22"/>
        <v>#VALUE!</v>
      </c>
    </row>
    <row r="217" spans="14:20" x14ac:dyDescent="0.35">
      <c r="N217" t="e">
        <f t="shared" si="20"/>
        <v>#N/A</v>
      </c>
      <c r="P217" t="e">
        <f t="shared" si="23"/>
        <v>#N/A</v>
      </c>
      <c r="Q217" t="e">
        <f t="shared" si="21"/>
        <v>#VALUE!</v>
      </c>
      <c r="S217" t="e">
        <f t="shared" si="24"/>
        <v>#N/A</v>
      </c>
      <c r="T217" t="e">
        <f t="shared" si="22"/>
        <v>#VALUE!</v>
      </c>
    </row>
    <row r="218" spans="14:20" x14ac:dyDescent="0.35">
      <c r="N218" t="e">
        <f t="shared" si="20"/>
        <v>#N/A</v>
      </c>
      <c r="P218" t="e">
        <f t="shared" si="23"/>
        <v>#N/A</v>
      </c>
      <c r="Q218" t="e">
        <f t="shared" si="21"/>
        <v>#VALUE!</v>
      </c>
      <c r="S218" t="e">
        <f t="shared" si="24"/>
        <v>#N/A</v>
      </c>
      <c r="T218" t="e">
        <f t="shared" si="22"/>
        <v>#VALUE!</v>
      </c>
    </row>
    <row r="219" spans="14:20" x14ac:dyDescent="0.35">
      <c r="N219" t="e">
        <f t="shared" si="20"/>
        <v>#N/A</v>
      </c>
      <c r="P219" t="e">
        <f t="shared" si="23"/>
        <v>#N/A</v>
      </c>
      <c r="Q219" t="e">
        <f t="shared" si="21"/>
        <v>#VALUE!</v>
      </c>
      <c r="S219" t="e">
        <f t="shared" si="24"/>
        <v>#N/A</v>
      </c>
      <c r="T219" t="e">
        <f t="shared" si="22"/>
        <v>#VALUE!</v>
      </c>
    </row>
    <row r="220" spans="14:20" x14ac:dyDescent="0.35">
      <c r="N220" t="e">
        <f t="shared" si="20"/>
        <v>#N/A</v>
      </c>
      <c r="P220" t="e">
        <f t="shared" si="23"/>
        <v>#N/A</v>
      </c>
      <c r="Q220" t="e">
        <f t="shared" si="21"/>
        <v>#VALUE!</v>
      </c>
      <c r="S220" t="e">
        <f t="shared" si="24"/>
        <v>#N/A</v>
      </c>
      <c r="T220" t="e">
        <f t="shared" si="22"/>
        <v>#VALUE!</v>
      </c>
    </row>
    <row r="221" spans="14:20" x14ac:dyDescent="0.35">
      <c r="N221" t="e">
        <f t="shared" si="20"/>
        <v>#N/A</v>
      </c>
      <c r="P221" t="e">
        <f t="shared" si="23"/>
        <v>#N/A</v>
      </c>
      <c r="Q221" t="e">
        <f t="shared" si="21"/>
        <v>#VALUE!</v>
      </c>
      <c r="S221" t="e">
        <f t="shared" si="24"/>
        <v>#N/A</v>
      </c>
      <c r="T221" t="e">
        <f t="shared" si="22"/>
        <v>#VALUE!</v>
      </c>
    </row>
    <row r="222" spans="14:20" x14ac:dyDescent="0.35">
      <c r="N222" t="e">
        <f t="shared" si="20"/>
        <v>#N/A</v>
      </c>
      <c r="P222" t="e">
        <f t="shared" si="23"/>
        <v>#N/A</v>
      </c>
      <c r="Q222" t="e">
        <f t="shared" si="21"/>
        <v>#VALUE!</v>
      </c>
      <c r="S222" t="e">
        <f t="shared" si="24"/>
        <v>#N/A</v>
      </c>
      <c r="T222" t="e">
        <f t="shared" si="22"/>
        <v>#VALUE!</v>
      </c>
    </row>
    <row r="223" spans="14:20" x14ac:dyDescent="0.35">
      <c r="N223" t="e">
        <f t="shared" si="20"/>
        <v>#N/A</v>
      </c>
      <c r="P223" t="e">
        <f t="shared" si="23"/>
        <v>#N/A</v>
      </c>
      <c r="Q223" t="e">
        <f t="shared" si="21"/>
        <v>#VALUE!</v>
      </c>
      <c r="S223" t="e">
        <f t="shared" si="24"/>
        <v>#N/A</v>
      </c>
      <c r="T223" t="e">
        <f t="shared" si="22"/>
        <v>#VALUE!</v>
      </c>
    </row>
    <row r="224" spans="14:20" x14ac:dyDescent="0.35">
      <c r="N224" t="e">
        <f t="shared" si="20"/>
        <v>#N/A</v>
      </c>
      <c r="P224" t="e">
        <f t="shared" si="23"/>
        <v>#N/A</v>
      </c>
      <c r="Q224" t="e">
        <f t="shared" si="21"/>
        <v>#VALUE!</v>
      </c>
      <c r="S224" t="e">
        <f t="shared" si="24"/>
        <v>#N/A</v>
      </c>
      <c r="T224" t="e">
        <f t="shared" si="22"/>
        <v>#VALUE!</v>
      </c>
    </row>
    <row r="225" spans="14:20" x14ac:dyDescent="0.35">
      <c r="N225" t="e">
        <f t="shared" si="20"/>
        <v>#N/A</v>
      </c>
      <c r="P225" t="e">
        <f t="shared" si="23"/>
        <v>#N/A</v>
      </c>
      <c r="Q225" t="e">
        <f t="shared" si="21"/>
        <v>#VALUE!</v>
      </c>
      <c r="S225" t="e">
        <f t="shared" si="24"/>
        <v>#N/A</v>
      </c>
      <c r="T225" t="e">
        <f t="shared" si="22"/>
        <v>#VALUE!</v>
      </c>
    </row>
    <row r="226" spans="14:20" x14ac:dyDescent="0.35">
      <c r="N226" t="e">
        <f t="shared" si="20"/>
        <v>#N/A</v>
      </c>
      <c r="P226" t="e">
        <f t="shared" si="23"/>
        <v>#N/A</v>
      </c>
      <c r="Q226" t="e">
        <f t="shared" si="21"/>
        <v>#VALUE!</v>
      </c>
      <c r="S226" t="e">
        <f t="shared" si="24"/>
        <v>#N/A</v>
      </c>
      <c r="T226" t="e">
        <f t="shared" si="22"/>
        <v>#VALUE!</v>
      </c>
    </row>
    <row r="227" spans="14:20" x14ac:dyDescent="0.35">
      <c r="N227" t="e">
        <f t="shared" si="20"/>
        <v>#N/A</v>
      </c>
      <c r="P227" t="e">
        <f t="shared" si="23"/>
        <v>#N/A</v>
      </c>
      <c r="Q227" t="e">
        <f t="shared" si="21"/>
        <v>#VALUE!</v>
      </c>
      <c r="S227" t="e">
        <f t="shared" si="24"/>
        <v>#N/A</v>
      </c>
      <c r="T227" t="e">
        <f t="shared" si="22"/>
        <v>#VALUE!</v>
      </c>
    </row>
    <row r="228" spans="14:20" x14ac:dyDescent="0.35">
      <c r="N228" t="e">
        <f t="shared" si="20"/>
        <v>#N/A</v>
      </c>
      <c r="P228" t="e">
        <f t="shared" si="23"/>
        <v>#N/A</v>
      </c>
      <c r="Q228" t="e">
        <f t="shared" si="21"/>
        <v>#VALUE!</v>
      </c>
      <c r="S228" t="e">
        <f t="shared" si="24"/>
        <v>#N/A</v>
      </c>
      <c r="T228" t="e">
        <f t="shared" si="22"/>
        <v>#VALUE!</v>
      </c>
    </row>
    <row r="229" spans="14:20" x14ac:dyDescent="0.35">
      <c r="N229" t="e">
        <f t="shared" si="20"/>
        <v>#N/A</v>
      </c>
      <c r="P229" t="e">
        <f t="shared" si="23"/>
        <v>#N/A</v>
      </c>
      <c r="Q229" t="e">
        <f t="shared" si="21"/>
        <v>#VALUE!</v>
      </c>
      <c r="S229" t="e">
        <f t="shared" si="24"/>
        <v>#N/A</v>
      </c>
      <c r="T229" t="e">
        <f t="shared" si="22"/>
        <v>#VALUE!</v>
      </c>
    </row>
    <row r="230" spans="14:20" x14ac:dyDescent="0.35">
      <c r="N230" t="e">
        <f t="shared" si="20"/>
        <v>#N/A</v>
      </c>
      <c r="P230" t="e">
        <f t="shared" si="23"/>
        <v>#N/A</v>
      </c>
      <c r="Q230" t="e">
        <f t="shared" si="21"/>
        <v>#VALUE!</v>
      </c>
      <c r="S230" t="e">
        <f t="shared" si="24"/>
        <v>#N/A</v>
      </c>
      <c r="T230" t="e">
        <f t="shared" si="22"/>
        <v>#VALUE!</v>
      </c>
    </row>
    <row r="231" spans="14:20" x14ac:dyDescent="0.35">
      <c r="N231" t="e">
        <f t="shared" si="20"/>
        <v>#N/A</v>
      </c>
      <c r="P231" t="e">
        <f t="shared" si="23"/>
        <v>#N/A</v>
      </c>
      <c r="Q231" t="e">
        <f t="shared" si="21"/>
        <v>#VALUE!</v>
      </c>
      <c r="S231" t="e">
        <f t="shared" si="24"/>
        <v>#N/A</v>
      </c>
      <c r="T231" t="e">
        <f t="shared" si="22"/>
        <v>#VALUE!</v>
      </c>
    </row>
    <row r="232" spans="14:20" x14ac:dyDescent="0.35">
      <c r="N232" t="e">
        <f t="shared" si="20"/>
        <v>#N/A</v>
      </c>
      <c r="P232" t="e">
        <f t="shared" si="23"/>
        <v>#N/A</v>
      </c>
      <c r="Q232" t="e">
        <f t="shared" si="21"/>
        <v>#VALUE!</v>
      </c>
      <c r="S232" t="e">
        <f t="shared" si="24"/>
        <v>#N/A</v>
      </c>
      <c r="T232" t="e">
        <f t="shared" si="22"/>
        <v>#VALUE!</v>
      </c>
    </row>
    <row r="233" spans="14:20" x14ac:dyDescent="0.35">
      <c r="N233" t="e">
        <f t="shared" si="20"/>
        <v>#N/A</v>
      </c>
      <c r="P233" t="e">
        <f t="shared" si="23"/>
        <v>#N/A</v>
      </c>
      <c r="Q233" t="e">
        <f t="shared" si="21"/>
        <v>#VALUE!</v>
      </c>
      <c r="S233" t="e">
        <f t="shared" si="24"/>
        <v>#N/A</v>
      </c>
      <c r="T233" t="e">
        <f t="shared" si="22"/>
        <v>#VALUE!</v>
      </c>
    </row>
    <row r="234" spans="14:20" x14ac:dyDescent="0.35">
      <c r="N234" t="e">
        <f t="shared" si="20"/>
        <v>#N/A</v>
      </c>
      <c r="P234" t="e">
        <f t="shared" si="23"/>
        <v>#N/A</v>
      </c>
      <c r="Q234" t="e">
        <f t="shared" si="21"/>
        <v>#VALUE!</v>
      </c>
      <c r="S234" t="e">
        <f t="shared" si="24"/>
        <v>#N/A</v>
      </c>
      <c r="T234" t="e">
        <f t="shared" si="22"/>
        <v>#VALUE!</v>
      </c>
    </row>
    <row r="235" spans="14:20" x14ac:dyDescent="0.35">
      <c r="N235" t="e">
        <f t="shared" si="20"/>
        <v>#N/A</v>
      </c>
      <c r="P235" t="e">
        <f t="shared" si="23"/>
        <v>#N/A</v>
      </c>
      <c r="Q235" t="e">
        <f t="shared" si="21"/>
        <v>#VALUE!</v>
      </c>
      <c r="S235" t="e">
        <f t="shared" si="24"/>
        <v>#N/A</v>
      </c>
      <c r="T235" t="e">
        <f t="shared" si="22"/>
        <v>#VALUE!</v>
      </c>
    </row>
    <row r="236" spans="14:20" x14ac:dyDescent="0.35">
      <c r="N236" t="e">
        <f t="shared" si="20"/>
        <v>#N/A</v>
      </c>
      <c r="P236" t="e">
        <f t="shared" si="23"/>
        <v>#N/A</v>
      </c>
      <c r="Q236" t="e">
        <f t="shared" si="21"/>
        <v>#VALUE!</v>
      </c>
      <c r="S236" t="e">
        <f t="shared" si="24"/>
        <v>#N/A</v>
      </c>
      <c r="T236" t="e">
        <f t="shared" si="22"/>
        <v>#VALUE!</v>
      </c>
    </row>
    <row r="237" spans="14:20" x14ac:dyDescent="0.35">
      <c r="N237" t="e">
        <f t="shared" si="20"/>
        <v>#N/A</v>
      </c>
      <c r="P237" t="e">
        <f t="shared" si="23"/>
        <v>#N/A</v>
      </c>
      <c r="Q237" t="e">
        <f t="shared" si="21"/>
        <v>#VALUE!</v>
      </c>
      <c r="S237" t="e">
        <f t="shared" si="24"/>
        <v>#N/A</v>
      </c>
      <c r="T237" t="e">
        <f t="shared" si="22"/>
        <v>#VALUE!</v>
      </c>
    </row>
    <row r="238" spans="14:20" x14ac:dyDescent="0.35">
      <c r="N238" t="e">
        <f t="shared" si="20"/>
        <v>#N/A</v>
      </c>
      <c r="P238" t="e">
        <f t="shared" si="23"/>
        <v>#N/A</v>
      </c>
      <c r="Q238" t="e">
        <f t="shared" si="21"/>
        <v>#VALUE!</v>
      </c>
      <c r="S238" t="e">
        <f t="shared" si="24"/>
        <v>#N/A</v>
      </c>
      <c r="T238" t="e">
        <f t="shared" si="22"/>
        <v>#VALUE!</v>
      </c>
    </row>
    <row r="239" spans="14:20" x14ac:dyDescent="0.35">
      <c r="N239" t="e">
        <f t="shared" si="20"/>
        <v>#N/A</v>
      </c>
      <c r="P239" t="e">
        <f t="shared" si="23"/>
        <v>#N/A</v>
      </c>
      <c r="Q239" t="e">
        <f t="shared" si="21"/>
        <v>#VALUE!</v>
      </c>
      <c r="S239" t="e">
        <f t="shared" si="24"/>
        <v>#N/A</v>
      </c>
      <c r="T239" t="e">
        <f t="shared" si="22"/>
        <v>#VALUE!</v>
      </c>
    </row>
    <row r="240" spans="14:20" x14ac:dyDescent="0.35">
      <c r="N240" t="e">
        <f t="shared" si="20"/>
        <v>#N/A</v>
      </c>
      <c r="P240" t="e">
        <f t="shared" si="23"/>
        <v>#N/A</v>
      </c>
      <c r="Q240" t="e">
        <f t="shared" si="21"/>
        <v>#VALUE!</v>
      </c>
      <c r="S240" t="e">
        <f t="shared" si="24"/>
        <v>#N/A</v>
      </c>
      <c r="T240" t="e">
        <f t="shared" si="22"/>
        <v>#VALUE!</v>
      </c>
    </row>
    <row r="241" spans="14:20" x14ac:dyDescent="0.35">
      <c r="N241" t="e">
        <f t="shared" si="20"/>
        <v>#N/A</v>
      </c>
      <c r="P241" t="e">
        <f t="shared" si="23"/>
        <v>#N/A</v>
      </c>
      <c r="Q241" t="e">
        <f t="shared" si="21"/>
        <v>#VALUE!</v>
      </c>
      <c r="S241" t="e">
        <f t="shared" si="24"/>
        <v>#N/A</v>
      </c>
      <c r="T241" t="e">
        <f t="shared" si="22"/>
        <v>#VALUE!</v>
      </c>
    </row>
    <row r="242" spans="14:20" x14ac:dyDescent="0.35">
      <c r="N242" t="e">
        <f t="shared" si="20"/>
        <v>#N/A</v>
      </c>
      <c r="P242" t="e">
        <f t="shared" si="23"/>
        <v>#N/A</v>
      </c>
      <c r="Q242" t="e">
        <f t="shared" si="21"/>
        <v>#VALUE!</v>
      </c>
      <c r="S242" t="e">
        <f t="shared" si="24"/>
        <v>#N/A</v>
      </c>
      <c r="T242" t="e">
        <f t="shared" si="22"/>
        <v>#VALUE!</v>
      </c>
    </row>
    <row r="243" spans="14:20" x14ac:dyDescent="0.35">
      <c r="N243" t="e">
        <f t="shared" si="20"/>
        <v>#N/A</v>
      </c>
      <c r="P243" t="e">
        <f t="shared" si="23"/>
        <v>#N/A</v>
      </c>
      <c r="Q243" t="e">
        <f t="shared" si="21"/>
        <v>#VALUE!</v>
      </c>
      <c r="S243" t="e">
        <f t="shared" si="24"/>
        <v>#N/A</v>
      </c>
      <c r="T243" t="e">
        <f t="shared" si="22"/>
        <v>#VALUE!</v>
      </c>
    </row>
    <row r="244" spans="14:20" x14ac:dyDescent="0.35">
      <c r="N244" t="e">
        <f t="shared" si="20"/>
        <v>#N/A</v>
      </c>
      <c r="P244" t="e">
        <f t="shared" si="23"/>
        <v>#N/A</v>
      </c>
      <c r="Q244" t="e">
        <f t="shared" si="21"/>
        <v>#VALUE!</v>
      </c>
      <c r="S244" t="e">
        <f t="shared" si="24"/>
        <v>#N/A</v>
      </c>
      <c r="T244" t="e">
        <f t="shared" si="22"/>
        <v>#VALUE!</v>
      </c>
    </row>
    <row r="245" spans="14:20" x14ac:dyDescent="0.35">
      <c r="N245" t="e">
        <f t="shared" si="20"/>
        <v>#N/A</v>
      </c>
      <c r="P245" t="e">
        <f t="shared" si="23"/>
        <v>#N/A</v>
      </c>
      <c r="Q245" t="e">
        <f t="shared" si="21"/>
        <v>#VALUE!</v>
      </c>
      <c r="S245" t="e">
        <f t="shared" si="24"/>
        <v>#N/A</v>
      </c>
      <c r="T245" t="e">
        <f t="shared" si="22"/>
        <v>#VALUE!</v>
      </c>
    </row>
    <row r="246" spans="14:20" x14ac:dyDescent="0.35">
      <c r="N246" t="e">
        <f t="shared" si="20"/>
        <v>#N/A</v>
      </c>
      <c r="P246" t="e">
        <f t="shared" si="23"/>
        <v>#N/A</v>
      </c>
      <c r="Q246" t="e">
        <f t="shared" si="21"/>
        <v>#VALUE!</v>
      </c>
      <c r="S246" t="e">
        <f t="shared" si="24"/>
        <v>#N/A</v>
      </c>
      <c r="T246" t="e">
        <f t="shared" si="22"/>
        <v>#VALUE!</v>
      </c>
    </row>
    <row r="247" spans="14:20" x14ac:dyDescent="0.35">
      <c r="N247" t="e">
        <f t="shared" si="20"/>
        <v>#N/A</v>
      </c>
      <c r="P247" t="e">
        <f t="shared" si="23"/>
        <v>#N/A</v>
      </c>
      <c r="Q247" t="e">
        <f t="shared" si="21"/>
        <v>#VALUE!</v>
      </c>
      <c r="S247" t="e">
        <f t="shared" si="24"/>
        <v>#N/A</v>
      </c>
      <c r="T247" t="e">
        <f t="shared" si="22"/>
        <v>#VALUE!</v>
      </c>
    </row>
    <row r="248" spans="14:20" x14ac:dyDescent="0.35">
      <c r="N248" t="e">
        <f t="shared" si="20"/>
        <v>#N/A</v>
      </c>
      <c r="P248" t="e">
        <f t="shared" si="23"/>
        <v>#N/A</v>
      </c>
      <c r="Q248" t="e">
        <f t="shared" si="21"/>
        <v>#VALUE!</v>
      </c>
      <c r="S248" t="e">
        <f t="shared" si="24"/>
        <v>#N/A</v>
      </c>
      <c r="T248" t="e">
        <f t="shared" si="22"/>
        <v>#VALUE!</v>
      </c>
    </row>
    <row r="249" spans="14:20" x14ac:dyDescent="0.35">
      <c r="N249" t="e">
        <f t="shared" si="20"/>
        <v>#N/A</v>
      </c>
      <c r="P249" t="e">
        <f t="shared" si="23"/>
        <v>#N/A</v>
      </c>
      <c r="Q249" t="e">
        <f t="shared" si="21"/>
        <v>#VALUE!</v>
      </c>
      <c r="S249" t="e">
        <f t="shared" si="24"/>
        <v>#N/A</v>
      </c>
      <c r="T249" t="e">
        <f t="shared" si="22"/>
        <v>#VALUE!</v>
      </c>
    </row>
    <row r="250" spans="14:20" x14ac:dyDescent="0.35">
      <c r="N250" t="e">
        <f t="shared" si="20"/>
        <v>#N/A</v>
      </c>
      <c r="P250" t="e">
        <f t="shared" si="23"/>
        <v>#N/A</v>
      </c>
      <c r="Q250" t="e">
        <f t="shared" si="21"/>
        <v>#VALUE!</v>
      </c>
      <c r="S250" t="e">
        <f t="shared" si="24"/>
        <v>#N/A</v>
      </c>
      <c r="T250" t="e">
        <f t="shared" si="22"/>
        <v>#VALUE!</v>
      </c>
    </row>
    <row r="251" spans="14:20" x14ac:dyDescent="0.35">
      <c r="N251" t="e">
        <f t="shared" si="20"/>
        <v>#N/A</v>
      </c>
      <c r="P251" t="e">
        <f t="shared" si="23"/>
        <v>#N/A</v>
      </c>
      <c r="Q251" t="e">
        <f t="shared" si="21"/>
        <v>#VALUE!</v>
      </c>
      <c r="S251" t="e">
        <f t="shared" si="24"/>
        <v>#N/A</v>
      </c>
      <c r="T251" t="e">
        <f t="shared" si="22"/>
        <v>#VALUE!</v>
      </c>
    </row>
    <row r="252" spans="14:20" x14ac:dyDescent="0.35">
      <c r="N252" t="e">
        <f t="shared" si="20"/>
        <v>#N/A</v>
      </c>
      <c r="P252" t="e">
        <f t="shared" si="23"/>
        <v>#N/A</v>
      </c>
      <c r="Q252" t="e">
        <f t="shared" si="21"/>
        <v>#VALUE!</v>
      </c>
      <c r="S252" t="e">
        <f t="shared" si="24"/>
        <v>#N/A</v>
      </c>
      <c r="T252" t="e">
        <f t="shared" si="22"/>
        <v>#VALUE!</v>
      </c>
    </row>
    <row r="253" spans="14:20" x14ac:dyDescent="0.35">
      <c r="N253" t="e">
        <f t="shared" si="20"/>
        <v>#N/A</v>
      </c>
      <c r="P253" t="e">
        <f t="shared" si="23"/>
        <v>#N/A</v>
      </c>
      <c r="Q253" t="e">
        <f t="shared" si="21"/>
        <v>#VALUE!</v>
      </c>
      <c r="S253" t="e">
        <f t="shared" si="24"/>
        <v>#N/A</v>
      </c>
      <c r="T253" t="e">
        <f t="shared" si="22"/>
        <v>#VALUE!</v>
      </c>
    </row>
    <row r="254" spans="14:20" x14ac:dyDescent="0.35">
      <c r="N254" t="e">
        <f t="shared" si="20"/>
        <v>#N/A</v>
      </c>
      <c r="P254" t="e">
        <f t="shared" si="23"/>
        <v>#N/A</v>
      </c>
      <c r="Q254" t="e">
        <f t="shared" si="21"/>
        <v>#VALUE!</v>
      </c>
      <c r="S254" t="e">
        <f t="shared" si="24"/>
        <v>#N/A</v>
      </c>
      <c r="T254" t="e">
        <f t="shared" si="22"/>
        <v>#VALUE!</v>
      </c>
    </row>
    <row r="255" spans="14:20" x14ac:dyDescent="0.35">
      <c r="N255" t="e">
        <f t="shared" si="20"/>
        <v>#N/A</v>
      </c>
      <c r="P255" t="e">
        <f t="shared" si="23"/>
        <v>#N/A</v>
      </c>
      <c r="Q255" t="e">
        <f t="shared" si="21"/>
        <v>#VALUE!</v>
      </c>
      <c r="S255" t="e">
        <f t="shared" si="24"/>
        <v>#N/A</v>
      </c>
      <c r="T255" t="e">
        <f t="shared" si="22"/>
        <v>#VALUE!</v>
      </c>
    </row>
    <row r="256" spans="14:20" x14ac:dyDescent="0.35">
      <c r="N256" t="e">
        <f t="shared" si="20"/>
        <v>#N/A</v>
      </c>
      <c r="P256" t="e">
        <f t="shared" si="23"/>
        <v>#N/A</v>
      </c>
      <c r="Q256" t="e">
        <f t="shared" si="21"/>
        <v>#VALUE!</v>
      </c>
      <c r="S256" t="e">
        <f t="shared" si="24"/>
        <v>#N/A</v>
      </c>
      <c r="T256" t="e">
        <f t="shared" si="22"/>
        <v>#VALUE!</v>
      </c>
    </row>
    <row r="257" spans="14:20" x14ac:dyDescent="0.35">
      <c r="N257" t="e">
        <f t="shared" si="20"/>
        <v>#N/A</v>
      </c>
      <c r="P257" t="e">
        <f t="shared" si="23"/>
        <v>#N/A</v>
      </c>
      <c r="Q257" t="e">
        <f t="shared" si="21"/>
        <v>#VALUE!</v>
      </c>
      <c r="S257" t="e">
        <f t="shared" si="24"/>
        <v>#N/A</v>
      </c>
      <c r="T257" t="e">
        <f t="shared" si="22"/>
        <v>#VALUE!</v>
      </c>
    </row>
    <row r="258" spans="14:20" x14ac:dyDescent="0.35">
      <c r="N258" t="e">
        <f t="shared" ref="N258:N264" si="25">MOD(P258^3+a*P258+b,prime)</f>
        <v>#N/A</v>
      </c>
      <c r="P258" t="e">
        <f t="shared" si="23"/>
        <v>#N/A</v>
      </c>
      <c r="Q258" t="e">
        <f t="shared" ref="Q258:Q264" si="26">modular_sqrt(N258,prime)</f>
        <v>#VALUE!</v>
      </c>
      <c r="S258" t="e">
        <f t="shared" si="24"/>
        <v>#N/A</v>
      </c>
      <c r="T258" t="e">
        <f t="shared" ref="T258:T264" si="27">MOD(prime-Q258,prime)/Q258*Q258</f>
        <v>#VALUE!</v>
      </c>
    </row>
    <row r="259" spans="14:20" x14ac:dyDescent="0.35">
      <c r="N259" t="e">
        <f t="shared" si="25"/>
        <v>#N/A</v>
      </c>
      <c r="P259" t="e">
        <f t="shared" ref="P259:P264" si="28">IF(P258+1&lt;prime,P258+1,NA())</f>
        <v>#N/A</v>
      </c>
      <c r="Q259" t="e">
        <f t="shared" si="26"/>
        <v>#VALUE!</v>
      </c>
      <c r="S259" t="e">
        <f t="shared" ref="S259:S264" si="29">P259</f>
        <v>#N/A</v>
      </c>
      <c r="T259" t="e">
        <f t="shared" si="27"/>
        <v>#VALUE!</v>
      </c>
    </row>
    <row r="260" spans="14:20" x14ac:dyDescent="0.35">
      <c r="N260" t="e">
        <f t="shared" si="25"/>
        <v>#N/A</v>
      </c>
      <c r="P260" t="e">
        <f t="shared" si="28"/>
        <v>#N/A</v>
      </c>
      <c r="Q260" t="e">
        <f t="shared" si="26"/>
        <v>#VALUE!</v>
      </c>
      <c r="S260" t="e">
        <f t="shared" si="29"/>
        <v>#N/A</v>
      </c>
      <c r="T260" t="e">
        <f t="shared" si="27"/>
        <v>#VALUE!</v>
      </c>
    </row>
    <row r="261" spans="14:20" x14ac:dyDescent="0.35">
      <c r="N261" t="e">
        <f t="shared" si="25"/>
        <v>#N/A</v>
      </c>
      <c r="P261" t="e">
        <f t="shared" si="28"/>
        <v>#N/A</v>
      </c>
      <c r="Q261" t="e">
        <f t="shared" si="26"/>
        <v>#VALUE!</v>
      </c>
      <c r="S261" t="e">
        <f t="shared" si="29"/>
        <v>#N/A</v>
      </c>
      <c r="T261" t="e">
        <f t="shared" si="27"/>
        <v>#VALUE!</v>
      </c>
    </row>
    <row r="262" spans="14:20" x14ac:dyDescent="0.35">
      <c r="N262" t="e">
        <f t="shared" si="25"/>
        <v>#N/A</v>
      </c>
      <c r="P262" t="e">
        <f t="shared" si="28"/>
        <v>#N/A</v>
      </c>
      <c r="Q262" t="e">
        <f t="shared" si="26"/>
        <v>#VALUE!</v>
      </c>
      <c r="S262" t="e">
        <f t="shared" si="29"/>
        <v>#N/A</v>
      </c>
      <c r="T262" t="e">
        <f t="shared" si="27"/>
        <v>#VALUE!</v>
      </c>
    </row>
    <row r="263" spans="14:20" x14ac:dyDescent="0.35">
      <c r="N263" t="e">
        <f t="shared" si="25"/>
        <v>#N/A</v>
      </c>
      <c r="P263" t="e">
        <f t="shared" si="28"/>
        <v>#N/A</v>
      </c>
      <c r="Q263" t="e">
        <f t="shared" si="26"/>
        <v>#VALUE!</v>
      </c>
      <c r="S263" t="e">
        <f t="shared" si="29"/>
        <v>#N/A</v>
      </c>
      <c r="T263" t="e">
        <f t="shared" si="27"/>
        <v>#VALUE!</v>
      </c>
    </row>
    <row r="264" spans="14:20" x14ac:dyDescent="0.35">
      <c r="N264" t="e">
        <f t="shared" si="25"/>
        <v>#N/A</v>
      </c>
      <c r="P264" t="e">
        <f t="shared" si="28"/>
        <v>#N/A</v>
      </c>
      <c r="Q264" t="e">
        <f t="shared" si="26"/>
        <v>#VALUE!</v>
      </c>
      <c r="S264" t="e">
        <f t="shared" si="29"/>
        <v>#N/A</v>
      </c>
      <c r="T264" t="e">
        <f t="shared" si="27"/>
        <v>#VALUE!</v>
      </c>
    </row>
  </sheetData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270"/>
  <sheetViews>
    <sheetView workbookViewId="0">
      <selection activeCell="C1" sqref="C1"/>
    </sheetView>
  </sheetViews>
  <sheetFormatPr defaultRowHeight="14.5" x14ac:dyDescent="0.35"/>
  <cols>
    <col min="1" max="1" width="4.54296875" bestFit="1" customWidth="1"/>
    <col min="2" max="2" width="4.1796875" bestFit="1" customWidth="1"/>
    <col min="3" max="3" width="4.1796875" customWidth="1"/>
    <col min="12" max="23" width="0" hidden="1" customWidth="1"/>
    <col min="24" max="31" width="8.453125" bestFit="1" customWidth="1"/>
  </cols>
  <sheetData>
    <row r="1" spans="1:31" x14ac:dyDescent="0.35">
      <c r="A1" t="s">
        <v>6</v>
      </c>
      <c r="B1" t="s">
        <v>7</v>
      </c>
      <c r="K1">
        <v>1</v>
      </c>
      <c r="X1" s="4">
        <f>Gx</f>
        <v>5</v>
      </c>
      <c r="Y1" s="5">
        <f>Gy</f>
        <v>9</v>
      </c>
      <c r="Z1" s="12">
        <f t="shared" ref="Z1:Z64" si="0">MOD(X1^3+a*X1+b,prime)</f>
        <v>4</v>
      </c>
      <c r="AA1" s="13">
        <f t="shared" ref="AA1:AA64" si="1">MOD(Y1*Y1,prime)</f>
        <v>4</v>
      </c>
      <c r="AB1" s="4">
        <f>(3*X1*X1+a)</f>
        <v>76</v>
      </c>
      <c r="AC1" s="14">
        <f>2*Y1</f>
        <v>18</v>
      </c>
      <c r="AD1" s="15">
        <f t="shared" ref="AD1:AD64" si="2">modInv(AC1,prime)</f>
        <v>8</v>
      </c>
      <c r="AE1" s="13">
        <f t="shared" ref="AE1:AE64" si="3">MOD(AB1*AD1,prime)</f>
        <v>3</v>
      </c>
    </row>
    <row r="2" spans="1:31" x14ac:dyDescent="0.35">
      <c r="A2">
        <v>5</v>
      </c>
      <c r="B2">
        <v>9</v>
      </c>
      <c r="K2">
        <v>2</v>
      </c>
      <c r="X2" s="6">
        <f t="shared" ref="X2:X65" si="4">MOD(AE1*AE1-X1-$X$1,prime)</f>
        <v>10</v>
      </c>
      <c r="Y2" s="7">
        <f t="shared" ref="Y2:Y65" si="5">MOD(AE1*($X$1-X2)-$Y$1,prime)</f>
        <v>9</v>
      </c>
      <c r="Z2" s="6">
        <f t="shared" si="0"/>
        <v>4</v>
      </c>
      <c r="AA2" s="7">
        <f t="shared" si="1"/>
        <v>4</v>
      </c>
      <c r="AB2" s="6">
        <f t="shared" ref="AB2:AB65" si="6">($Y$1-Y2)</f>
        <v>0</v>
      </c>
      <c r="AC2" s="16">
        <f t="shared" ref="AC2:AC65" si="7">($X$1-X2)</f>
        <v>-5</v>
      </c>
      <c r="AD2" s="16">
        <f t="shared" si="2"/>
        <v>2</v>
      </c>
      <c r="AE2" s="7">
        <f t="shared" si="3"/>
        <v>0</v>
      </c>
    </row>
    <row r="3" spans="1:31" x14ac:dyDescent="0.35">
      <c r="K3">
        <v>3</v>
      </c>
      <c r="X3" s="6">
        <f t="shared" si="4"/>
        <v>7</v>
      </c>
      <c r="Y3" s="7">
        <f t="shared" si="5"/>
        <v>2</v>
      </c>
      <c r="Z3" s="6">
        <f t="shared" si="0"/>
        <v>4</v>
      </c>
      <c r="AA3" s="7">
        <f t="shared" si="1"/>
        <v>4</v>
      </c>
      <c r="AB3" s="6">
        <f t="shared" si="6"/>
        <v>7</v>
      </c>
      <c r="AC3" s="16">
        <f t="shared" si="7"/>
        <v>-2</v>
      </c>
      <c r="AD3" s="16">
        <f t="shared" si="2"/>
        <v>5</v>
      </c>
      <c r="AE3" s="7">
        <f t="shared" si="3"/>
        <v>2</v>
      </c>
    </row>
    <row r="4" spans="1:31" x14ac:dyDescent="0.35">
      <c r="K4">
        <v>4</v>
      </c>
      <c r="X4" s="6">
        <f t="shared" si="4"/>
        <v>3</v>
      </c>
      <c r="Y4" s="7">
        <f t="shared" si="5"/>
        <v>6</v>
      </c>
      <c r="Z4" s="6">
        <f t="shared" si="0"/>
        <v>3</v>
      </c>
      <c r="AA4" s="7">
        <f t="shared" si="1"/>
        <v>3</v>
      </c>
      <c r="AB4" s="6">
        <f t="shared" si="6"/>
        <v>3</v>
      </c>
      <c r="AC4" s="16">
        <f t="shared" si="7"/>
        <v>2</v>
      </c>
      <c r="AD4" s="16">
        <f t="shared" si="2"/>
        <v>6</v>
      </c>
      <c r="AE4" s="7">
        <f t="shared" si="3"/>
        <v>7</v>
      </c>
    </row>
    <row r="5" spans="1:31" x14ac:dyDescent="0.35">
      <c r="A5" t="s">
        <v>8</v>
      </c>
      <c r="B5">
        <f>COUNT(X1:X270)+1</f>
        <v>13</v>
      </c>
      <c r="K5">
        <v>5</v>
      </c>
      <c r="X5" s="6">
        <f t="shared" si="4"/>
        <v>8</v>
      </c>
      <c r="Y5" s="7">
        <f t="shared" si="5"/>
        <v>3</v>
      </c>
      <c r="Z5" s="6">
        <f t="shared" si="0"/>
        <v>9</v>
      </c>
      <c r="AA5" s="7">
        <f t="shared" si="1"/>
        <v>9</v>
      </c>
      <c r="AB5" s="6">
        <f t="shared" si="6"/>
        <v>6</v>
      </c>
      <c r="AC5" s="16">
        <f t="shared" si="7"/>
        <v>-3</v>
      </c>
      <c r="AD5" s="16">
        <f t="shared" si="2"/>
        <v>7</v>
      </c>
      <c r="AE5" s="7">
        <f t="shared" si="3"/>
        <v>9</v>
      </c>
    </row>
    <row r="6" spans="1:31" x14ac:dyDescent="0.35">
      <c r="K6">
        <v>6</v>
      </c>
      <c r="X6" s="6">
        <f t="shared" si="4"/>
        <v>2</v>
      </c>
      <c r="Y6" s="7">
        <f t="shared" si="5"/>
        <v>7</v>
      </c>
      <c r="Z6" s="6">
        <f t="shared" si="0"/>
        <v>5</v>
      </c>
      <c r="AA6" s="7">
        <f t="shared" si="1"/>
        <v>5</v>
      </c>
      <c r="AB6" s="6">
        <f t="shared" si="6"/>
        <v>2</v>
      </c>
      <c r="AC6" s="16">
        <f t="shared" si="7"/>
        <v>3</v>
      </c>
      <c r="AD6" s="16">
        <f t="shared" si="2"/>
        <v>4</v>
      </c>
      <c r="AE6" s="7">
        <f t="shared" si="3"/>
        <v>8</v>
      </c>
    </row>
    <row r="7" spans="1:31" x14ac:dyDescent="0.35">
      <c r="K7">
        <v>7</v>
      </c>
      <c r="X7" s="6">
        <f t="shared" si="4"/>
        <v>2</v>
      </c>
      <c r="Y7" s="7">
        <f t="shared" si="5"/>
        <v>4</v>
      </c>
      <c r="Z7" s="6">
        <f t="shared" si="0"/>
        <v>5</v>
      </c>
      <c r="AA7" s="7">
        <f t="shared" si="1"/>
        <v>5</v>
      </c>
      <c r="AB7" s="6">
        <f t="shared" si="6"/>
        <v>5</v>
      </c>
      <c r="AC7" s="16">
        <f t="shared" si="7"/>
        <v>3</v>
      </c>
      <c r="AD7" s="16">
        <f t="shared" si="2"/>
        <v>4</v>
      </c>
      <c r="AE7" s="7">
        <f t="shared" si="3"/>
        <v>9</v>
      </c>
    </row>
    <row r="8" spans="1:31" x14ac:dyDescent="0.35">
      <c r="K8">
        <v>8</v>
      </c>
      <c r="X8" s="6">
        <f t="shared" si="4"/>
        <v>8</v>
      </c>
      <c r="Y8" s="7">
        <f t="shared" si="5"/>
        <v>8</v>
      </c>
      <c r="Z8" s="6">
        <f t="shared" si="0"/>
        <v>9</v>
      </c>
      <c r="AA8" s="7">
        <f t="shared" si="1"/>
        <v>9</v>
      </c>
      <c r="AB8" s="6">
        <f t="shared" si="6"/>
        <v>1</v>
      </c>
      <c r="AC8" s="16">
        <f t="shared" si="7"/>
        <v>-3</v>
      </c>
      <c r="AD8" s="16">
        <f t="shared" si="2"/>
        <v>7</v>
      </c>
      <c r="AE8" s="7">
        <f t="shared" si="3"/>
        <v>7</v>
      </c>
    </row>
    <row r="9" spans="1:31" x14ac:dyDescent="0.35">
      <c r="K9">
        <v>9</v>
      </c>
      <c r="X9" s="6">
        <f t="shared" si="4"/>
        <v>3</v>
      </c>
      <c r="Y9" s="7">
        <f t="shared" si="5"/>
        <v>5</v>
      </c>
      <c r="Z9" s="6">
        <f t="shared" si="0"/>
        <v>3</v>
      </c>
      <c r="AA9" s="7">
        <f t="shared" si="1"/>
        <v>3</v>
      </c>
      <c r="AB9" s="6">
        <f t="shared" si="6"/>
        <v>4</v>
      </c>
      <c r="AC9" s="16">
        <f t="shared" si="7"/>
        <v>2</v>
      </c>
      <c r="AD9" s="16">
        <f t="shared" si="2"/>
        <v>6</v>
      </c>
      <c r="AE9" s="7">
        <f t="shared" si="3"/>
        <v>2</v>
      </c>
    </row>
    <row r="10" spans="1:31" x14ac:dyDescent="0.35">
      <c r="K10">
        <v>10</v>
      </c>
      <c r="X10" s="6">
        <f t="shared" si="4"/>
        <v>7</v>
      </c>
      <c r="Y10" s="7">
        <f t="shared" si="5"/>
        <v>9</v>
      </c>
      <c r="Z10" s="6">
        <f t="shared" si="0"/>
        <v>4</v>
      </c>
      <c r="AA10" s="7">
        <f t="shared" si="1"/>
        <v>4</v>
      </c>
      <c r="AB10" s="6">
        <f t="shared" si="6"/>
        <v>0</v>
      </c>
      <c r="AC10" s="16">
        <f t="shared" si="7"/>
        <v>-2</v>
      </c>
      <c r="AD10" s="16">
        <f t="shared" si="2"/>
        <v>5</v>
      </c>
      <c r="AE10" s="7">
        <f t="shared" si="3"/>
        <v>0</v>
      </c>
    </row>
    <row r="11" spans="1:31" x14ac:dyDescent="0.35">
      <c r="K11">
        <v>11</v>
      </c>
      <c r="X11" s="6">
        <f t="shared" si="4"/>
        <v>10</v>
      </c>
      <c r="Y11" s="7">
        <f t="shared" si="5"/>
        <v>2</v>
      </c>
      <c r="Z11" s="6">
        <f t="shared" si="0"/>
        <v>4</v>
      </c>
      <c r="AA11" s="7">
        <f t="shared" si="1"/>
        <v>4</v>
      </c>
      <c r="AB11" s="6">
        <f t="shared" si="6"/>
        <v>7</v>
      </c>
      <c r="AC11" s="16">
        <f t="shared" si="7"/>
        <v>-5</v>
      </c>
      <c r="AD11" s="16">
        <f t="shared" si="2"/>
        <v>2</v>
      </c>
      <c r="AE11" s="7">
        <f t="shared" si="3"/>
        <v>3</v>
      </c>
    </row>
    <row r="12" spans="1:31" x14ac:dyDescent="0.35">
      <c r="K12">
        <v>12</v>
      </c>
      <c r="X12" s="6">
        <f t="shared" si="4"/>
        <v>5</v>
      </c>
      <c r="Y12" s="7">
        <f t="shared" si="5"/>
        <v>2</v>
      </c>
      <c r="Z12" s="6">
        <f t="shared" si="0"/>
        <v>4</v>
      </c>
      <c r="AA12" s="7">
        <f t="shared" si="1"/>
        <v>4</v>
      </c>
      <c r="AB12" s="6">
        <f t="shared" si="6"/>
        <v>7</v>
      </c>
      <c r="AC12" s="16">
        <f t="shared" si="7"/>
        <v>0</v>
      </c>
      <c r="AD12" s="16" t="e">
        <f t="shared" si="2"/>
        <v>#VALUE!</v>
      </c>
      <c r="AE12" s="7" t="e">
        <f t="shared" si="3"/>
        <v>#VALUE!</v>
      </c>
    </row>
    <row r="13" spans="1:31" x14ac:dyDescent="0.35">
      <c r="K13">
        <v>13</v>
      </c>
      <c r="X13" s="6" t="e">
        <f t="shared" si="4"/>
        <v>#VALUE!</v>
      </c>
      <c r="Y13" s="7" t="e">
        <f t="shared" si="5"/>
        <v>#VALUE!</v>
      </c>
      <c r="Z13" s="6" t="e">
        <f t="shared" si="0"/>
        <v>#VALUE!</v>
      </c>
      <c r="AA13" s="7" t="e">
        <f t="shared" si="1"/>
        <v>#VALUE!</v>
      </c>
      <c r="AB13" s="6" t="e">
        <f t="shared" si="6"/>
        <v>#VALUE!</v>
      </c>
      <c r="AC13" s="16" t="e">
        <f t="shared" si="7"/>
        <v>#VALUE!</v>
      </c>
      <c r="AD13" s="16" t="e">
        <f t="shared" si="2"/>
        <v>#VALUE!</v>
      </c>
      <c r="AE13" s="7" t="e">
        <f t="shared" si="3"/>
        <v>#VALUE!</v>
      </c>
    </row>
    <row r="14" spans="1:31" x14ac:dyDescent="0.35">
      <c r="K14">
        <v>14</v>
      </c>
      <c r="X14" s="6" t="e">
        <f t="shared" si="4"/>
        <v>#VALUE!</v>
      </c>
      <c r="Y14" s="7" t="e">
        <f t="shared" si="5"/>
        <v>#VALUE!</v>
      </c>
      <c r="Z14" s="6" t="e">
        <f t="shared" si="0"/>
        <v>#VALUE!</v>
      </c>
      <c r="AA14" s="7" t="e">
        <f t="shared" si="1"/>
        <v>#VALUE!</v>
      </c>
      <c r="AB14" s="6" t="e">
        <f t="shared" si="6"/>
        <v>#VALUE!</v>
      </c>
      <c r="AC14" s="16" t="e">
        <f t="shared" si="7"/>
        <v>#VALUE!</v>
      </c>
      <c r="AD14" s="16" t="e">
        <f t="shared" si="2"/>
        <v>#VALUE!</v>
      </c>
      <c r="AE14" s="7" t="e">
        <f t="shared" si="3"/>
        <v>#VALUE!</v>
      </c>
    </row>
    <row r="15" spans="1:31" x14ac:dyDescent="0.35">
      <c r="K15">
        <v>15</v>
      </c>
      <c r="X15" s="6" t="e">
        <f t="shared" si="4"/>
        <v>#VALUE!</v>
      </c>
      <c r="Y15" s="7" t="e">
        <f t="shared" si="5"/>
        <v>#VALUE!</v>
      </c>
      <c r="Z15" s="6" t="e">
        <f t="shared" si="0"/>
        <v>#VALUE!</v>
      </c>
      <c r="AA15" s="7" t="e">
        <f t="shared" si="1"/>
        <v>#VALUE!</v>
      </c>
      <c r="AB15" s="6" t="e">
        <f t="shared" si="6"/>
        <v>#VALUE!</v>
      </c>
      <c r="AC15" s="16" t="e">
        <f t="shared" si="7"/>
        <v>#VALUE!</v>
      </c>
      <c r="AD15" s="16" t="e">
        <f t="shared" si="2"/>
        <v>#VALUE!</v>
      </c>
      <c r="AE15" s="7" t="e">
        <f t="shared" si="3"/>
        <v>#VALUE!</v>
      </c>
    </row>
    <row r="16" spans="1:31" x14ac:dyDescent="0.35">
      <c r="K16">
        <v>16</v>
      </c>
      <c r="X16" s="6" t="e">
        <f t="shared" si="4"/>
        <v>#VALUE!</v>
      </c>
      <c r="Y16" s="7" t="e">
        <f t="shared" si="5"/>
        <v>#VALUE!</v>
      </c>
      <c r="Z16" s="6" t="e">
        <f t="shared" si="0"/>
        <v>#VALUE!</v>
      </c>
      <c r="AA16" s="7" t="e">
        <f t="shared" si="1"/>
        <v>#VALUE!</v>
      </c>
      <c r="AB16" s="6" t="e">
        <f t="shared" si="6"/>
        <v>#VALUE!</v>
      </c>
      <c r="AC16" s="16" t="e">
        <f t="shared" si="7"/>
        <v>#VALUE!</v>
      </c>
      <c r="AD16" s="16" t="e">
        <f t="shared" si="2"/>
        <v>#VALUE!</v>
      </c>
      <c r="AE16" s="7" t="e">
        <f t="shared" si="3"/>
        <v>#VALUE!</v>
      </c>
    </row>
    <row r="17" spans="11:31" x14ac:dyDescent="0.35">
      <c r="K17">
        <v>17</v>
      </c>
      <c r="X17" s="6" t="e">
        <f t="shared" si="4"/>
        <v>#VALUE!</v>
      </c>
      <c r="Y17" s="7" t="e">
        <f t="shared" si="5"/>
        <v>#VALUE!</v>
      </c>
      <c r="Z17" s="6" t="e">
        <f t="shared" si="0"/>
        <v>#VALUE!</v>
      </c>
      <c r="AA17" s="7" t="e">
        <f t="shared" si="1"/>
        <v>#VALUE!</v>
      </c>
      <c r="AB17" s="6" t="e">
        <f t="shared" si="6"/>
        <v>#VALUE!</v>
      </c>
      <c r="AC17" s="16" t="e">
        <f t="shared" si="7"/>
        <v>#VALUE!</v>
      </c>
      <c r="AD17" s="16" t="e">
        <f t="shared" si="2"/>
        <v>#VALUE!</v>
      </c>
      <c r="AE17" s="7" t="e">
        <f t="shared" si="3"/>
        <v>#VALUE!</v>
      </c>
    </row>
    <row r="18" spans="11:31" x14ac:dyDescent="0.35">
      <c r="K18">
        <v>18</v>
      </c>
      <c r="X18" s="6" t="e">
        <f t="shared" si="4"/>
        <v>#VALUE!</v>
      </c>
      <c r="Y18" s="7" t="e">
        <f t="shared" si="5"/>
        <v>#VALUE!</v>
      </c>
      <c r="Z18" s="6" t="e">
        <f t="shared" si="0"/>
        <v>#VALUE!</v>
      </c>
      <c r="AA18" s="7" t="e">
        <f t="shared" si="1"/>
        <v>#VALUE!</v>
      </c>
      <c r="AB18" s="6" t="e">
        <f t="shared" si="6"/>
        <v>#VALUE!</v>
      </c>
      <c r="AC18" s="16" t="e">
        <f t="shared" si="7"/>
        <v>#VALUE!</v>
      </c>
      <c r="AD18" s="16" t="e">
        <f t="shared" si="2"/>
        <v>#VALUE!</v>
      </c>
      <c r="AE18" s="7" t="e">
        <f t="shared" si="3"/>
        <v>#VALUE!</v>
      </c>
    </row>
    <row r="19" spans="11:31" x14ac:dyDescent="0.35">
      <c r="K19">
        <v>19</v>
      </c>
      <c r="X19" s="6" t="e">
        <f t="shared" si="4"/>
        <v>#VALUE!</v>
      </c>
      <c r="Y19" s="7" t="e">
        <f t="shared" si="5"/>
        <v>#VALUE!</v>
      </c>
      <c r="Z19" s="6" t="e">
        <f t="shared" si="0"/>
        <v>#VALUE!</v>
      </c>
      <c r="AA19" s="7" t="e">
        <f t="shared" si="1"/>
        <v>#VALUE!</v>
      </c>
      <c r="AB19" s="6" t="e">
        <f t="shared" si="6"/>
        <v>#VALUE!</v>
      </c>
      <c r="AC19" s="16" t="e">
        <f t="shared" si="7"/>
        <v>#VALUE!</v>
      </c>
      <c r="AD19" s="16" t="e">
        <f t="shared" si="2"/>
        <v>#VALUE!</v>
      </c>
      <c r="AE19" s="7" t="e">
        <f t="shared" si="3"/>
        <v>#VALUE!</v>
      </c>
    </row>
    <row r="20" spans="11:31" x14ac:dyDescent="0.35">
      <c r="K20">
        <v>20</v>
      </c>
      <c r="X20" s="6" t="e">
        <f t="shared" si="4"/>
        <v>#VALUE!</v>
      </c>
      <c r="Y20" s="7" t="e">
        <f t="shared" si="5"/>
        <v>#VALUE!</v>
      </c>
      <c r="Z20" s="6" t="e">
        <f t="shared" si="0"/>
        <v>#VALUE!</v>
      </c>
      <c r="AA20" s="7" t="e">
        <f t="shared" si="1"/>
        <v>#VALUE!</v>
      </c>
      <c r="AB20" s="6" t="e">
        <f t="shared" si="6"/>
        <v>#VALUE!</v>
      </c>
      <c r="AC20" s="16" t="e">
        <f t="shared" si="7"/>
        <v>#VALUE!</v>
      </c>
      <c r="AD20" s="16" t="e">
        <f t="shared" si="2"/>
        <v>#VALUE!</v>
      </c>
      <c r="AE20" s="7" t="e">
        <f t="shared" si="3"/>
        <v>#VALUE!</v>
      </c>
    </row>
    <row r="21" spans="11:31" x14ac:dyDescent="0.35">
      <c r="K21">
        <v>21</v>
      </c>
      <c r="X21" s="6" t="e">
        <f t="shared" si="4"/>
        <v>#VALUE!</v>
      </c>
      <c r="Y21" s="7" t="e">
        <f t="shared" si="5"/>
        <v>#VALUE!</v>
      </c>
      <c r="Z21" s="6" t="e">
        <f t="shared" si="0"/>
        <v>#VALUE!</v>
      </c>
      <c r="AA21" s="7" t="e">
        <f t="shared" si="1"/>
        <v>#VALUE!</v>
      </c>
      <c r="AB21" s="6" t="e">
        <f t="shared" si="6"/>
        <v>#VALUE!</v>
      </c>
      <c r="AC21" s="16" t="e">
        <f t="shared" si="7"/>
        <v>#VALUE!</v>
      </c>
      <c r="AD21" s="16" t="e">
        <f t="shared" si="2"/>
        <v>#VALUE!</v>
      </c>
      <c r="AE21" s="7" t="e">
        <f t="shared" si="3"/>
        <v>#VALUE!</v>
      </c>
    </row>
    <row r="22" spans="11:31" x14ac:dyDescent="0.35">
      <c r="K22">
        <v>22</v>
      </c>
      <c r="X22" s="6" t="e">
        <f t="shared" si="4"/>
        <v>#VALUE!</v>
      </c>
      <c r="Y22" s="7" t="e">
        <f t="shared" si="5"/>
        <v>#VALUE!</v>
      </c>
      <c r="Z22" s="6" t="e">
        <f t="shared" si="0"/>
        <v>#VALUE!</v>
      </c>
      <c r="AA22" s="7" t="e">
        <f t="shared" si="1"/>
        <v>#VALUE!</v>
      </c>
      <c r="AB22" s="6" t="e">
        <f t="shared" si="6"/>
        <v>#VALUE!</v>
      </c>
      <c r="AC22" s="16" t="e">
        <f t="shared" si="7"/>
        <v>#VALUE!</v>
      </c>
      <c r="AD22" s="16" t="e">
        <f t="shared" si="2"/>
        <v>#VALUE!</v>
      </c>
      <c r="AE22" s="7" t="e">
        <f t="shared" si="3"/>
        <v>#VALUE!</v>
      </c>
    </row>
    <row r="23" spans="11:31" x14ac:dyDescent="0.35">
      <c r="K23">
        <v>23</v>
      </c>
      <c r="X23" s="6" t="e">
        <f t="shared" si="4"/>
        <v>#VALUE!</v>
      </c>
      <c r="Y23" s="7" t="e">
        <f t="shared" si="5"/>
        <v>#VALUE!</v>
      </c>
      <c r="Z23" s="6" t="e">
        <f t="shared" si="0"/>
        <v>#VALUE!</v>
      </c>
      <c r="AA23" s="7" t="e">
        <f t="shared" si="1"/>
        <v>#VALUE!</v>
      </c>
      <c r="AB23" s="6" t="e">
        <f t="shared" si="6"/>
        <v>#VALUE!</v>
      </c>
      <c r="AC23" s="16" t="e">
        <f t="shared" si="7"/>
        <v>#VALUE!</v>
      </c>
      <c r="AD23" s="16" t="e">
        <f t="shared" si="2"/>
        <v>#VALUE!</v>
      </c>
      <c r="AE23" s="7" t="e">
        <f t="shared" si="3"/>
        <v>#VALUE!</v>
      </c>
    </row>
    <row r="24" spans="11:31" x14ac:dyDescent="0.35">
      <c r="K24">
        <v>24</v>
      </c>
      <c r="X24" s="6" t="e">
        <f t="shared" si="4"/>
        <v>#VALUE!</v>
      </c>
      <c r="Y24" s="7" t="e">
        <f t="shared" si="5"/>
        <v>#VALUE!</v>
      </c>
      <c r="Z24" s="6" t="e">
        <f t="shared" si="0"/>
        <v>#VALUE!</v>
      </c>
      <c r="AA24" s="7" t="e">
        <f t="shared" si="1"/>
        <v>#VALUE!</v>
      </c>
      <c r="AB24" s="6" t="e">
        <f t="shared" si="6"/>
        <v>#VALUE!</v>
      </c>
      <c r="AC24" s="16" t="e">
        <f t="shared" si="7"/>
        <v>#VALUE!</v>
      </c>
      <c r="AD24" s="16" t="e">
        <f t="shared" si="2"/>
        <v>#VALUE!</v>
      </c>
      <c r="AE24" s="7" t="e">
        <f t="shared" si="3"/>
        <v>#VALUE!</v>
      </c>
    </row>
    <row r="25" spans="11:31" x14ac:dyDescent="0.35">
      <c r="K25">
        <v>25</v>
      </c>
      <c r="X25" s="6" t="e">
        <f t="shared" si="4"/>
        <v>#VALUE!</v>
      </c>
      <c r="Y25" s="7" t="e">
        <f t="shared" si="5"/>
        <v>#VALUE!</v>
      </c>
      <c r="Z25" s="6" t="e">
        <f t="shared" si="0"/>
        <v>#VALUE!</v>
      </c>
      <c r="AA25" s="7" t="e">
        <f t="shared" si="1"/>
        <v>#VALUE!</v>
      </c>
      <c r="AB25" s="6" t="e">
        <f t="shared" si="6"/>
        <v>#VALUE!</v>
      </c>
      <c r="AC25" s="16" t="e">
        <f t="shared" si="7"/>
        <v>#VALUE!</v>
      </c>
      <c r="AD25" s="16" t="e">
        <f t="shared" si="2"/>
        <v>#VALUE!</v>
      </c>
      <c r="AE25" s="7" t="e">
        <f t="shared" si="3"/>
        <v>#VALUE!</v>
      </c>
    </row>
    <row r="26" spans="11:31" x14ac:dyDescent="0.35">
      <c r="K26">
        <v>26</v>
      </c>
      <c r="X26" s="6" t="e">
        <f t="shared" si="4"/>
        <v>#VALUE!</v>
      </c>
      <c r="Y26" s="7" t="e">
        <f t="shared" si="5"/>
        <v>#VALUE!</v>
      </c>
      <c r="Z26" s="6" t="e">
        <f t="shared" si="0"/>
        <v>#VALUE!</v>
      </c>
      <c r="AA26" s="7" t="e">
        <f t="shared" si="1"/>
        <v>#VALUE!</v>
      </c>
      <c r="AB26" s="6" t="e">
        <f t="shared" si="6"/>
        <v>#VALUE!</v>
      </c>
      <c r="AC26" s="16" t="e">
        <f t="shared" si="7"/>
        <v>#VALUE!</v>
      </c>
      <c r="AD26" s="16" t="e">
        <f t="shared" si="2"/>
        <v>#VALUE!</v>
      </c>
      <c r="AE26" s="7" t="e">
        <f t="shared" si="3"/>
        <v>#VALUE!</v>
      </c>
    </row>
    <row r="27" spans="11:31" x14ac:dyDescent="0.35">
      <c r="K27">
        <v>27</v>
      </c>
      <c r="X27" s="6" t="e">
        <f t="shared" si="4"/>
        <v>#VALUE!</v>
      </c>
      <c r="Y27" s="7" t="e">
        <f t="shared" si="5"/>
        <v>#VALUE!</v>
      </c>
      <c r="Z27" s="6" t="e">
        <f t="shared" si="0"/>
        <v>#VALUE!</v>
      </c>
      <c r="AA27" s="7" t="e">
        <f t="shared" si="1"/>
        <v>#VALUE!</v>
      </c>
      <c r="AB27" s="6" t="e">
        <f t="shared" si="6"/>
        <v>#VALUE!</v>
      </c>
      <c r="AC27" s="16" t="e">
        <f t="shared" si="7"/>
        <v>#VALUE!</v>
      </c>
      <c r="AD27" s="16" t="e">
        <f t="shared" si="2"/>
        <v>#VALUE!</v>
      </c>
      <c r="AE27" s="7" t="e">
        <f t="shared" si="3"/>
        <v>#VALUE!</v>
      </c>
    </row>
    <row r="28" spans="11:31" x14ac:dyDescent="0.35">
      <c r="K28">
        <v>28</v>
      </c>
      <c r="X28" s="6" t="e">
        <f t="shared" si="4"/>
        <v>#VALUE!</v>
      </c>
      <c r="Y28" s="7" t="e">
        <f t="shared" si="5"/>
        <v>#VALUE!</v>
      </c>
      <c r="Z28" s="6" t="e">
        <f t="shared" si="0"/>
        <v>#VALUE!</v>
      </c>
      <c r="AA28" s="7" t="e">
        <f t="shared" si="1"/>
        <v>#VALUE!</v>
      </c>
      <c r="AB28" s="6" t="e">
        <f t="shared" si="6"/>
        <v>#VALUE!</v>
      </c>
      <c r="AC28" s="16" t="e">
        <f t="shared" si="7"/>
        <v>#VALUE!</v>
      </c>
      <c r="AD28" s="16" t="e">
        <f t="shared" si="2"/>
        <v>#VALUE!</v>
      </c>
      <c r="AE28" s="7" t="e">
        <f t="shared" si="3"/>
        <v>#VALUE!</v>
      </c>
    </row>
    <row r="29" spans="11:31" x14ac:dyDescent="0.35">
      <c r="K29">
        <v>29</v>
      </c>
      <c r="X29" s="6" t="e">
        <f t="shared" si="4"/>
        <v>#VALUE!</v>
      </c>
      <c r="Y29" s="7" t="e">
        <f t="shared" si="5"/>
        <v>#VALUE!</v>
      </c>
      <c r="Z29" s="6" t="e">
        <f t="shared" si="0"/>
        <v>#VALUE!</v>
      </c>
      <c r="AA29" s="7" t="e">
        <f t="shared" si="1"/>
        <v>#VALUE!</v>
      </c>
      <c r="AB29" s="6" t="e">
        <f t="shared" si="6"/>
        <v>#VALUE!</v>
      </c>
      <c r="AC29" s="16" t="e">
        <f t="shared" si="7"/>
        <v>#VALUE!</v>
      </c>
      <c r="AD29" s="16" t="e">
        <f t="shared" si="2"/>
        <v>#VALUE!</v>
      </c>
      <c r="AE29" s="7" t="e">
        <f t="shared" si="3"/>
        <v>#VALUE!</v>
      </c>
    </row>
    <row r="30" spans="11:31" x14ac:dyDescent="0.35">
      <c r="K30">
        <v>30</v>
      </c>
      <c r="X30" s="6" t="e">
        <f t="shared" si="4"/>
        <v>#VALUE!</v>
      </c>
      <c r="Y30" s="7" t="e">
        <f t="shared" si="5"/>
        <v>#VALUE!</v>
      </c>
      <c r="Z30" s="6" t="e">
        <f t="shared" si="0"/>
        <v>#VALUE!</v>
      </c>
      <c r="AA30" s="7" t="e">
        <f t="shared" si="1"/>
        <v>#VALUE!</v>
      </c>
      <c r="AB30" s="6" t="e">
        <f t="shared" si="6"/>
        <v>#VALUE!</v>
      </c>
      <c r="AC30" s="16" t="e">
        <f t="shared" si="7"/>
        <v>#VALUE!</v>
      </c>
      <c r="AD30" s="16" t="e">
        <f t="shared" si="2"/>
        <v>#VALUE!</v>
      </c>
      <c r="AE30" s="7" t="e">
        <f t="shared" si="3"/>
        <v>#VALUE!</v>
      </c>
    </row>
    <row r="31" spans="11:31" x14ac:dyDescent="0.35">
      <c r="K31">
        <v>31</v>
      </c>
      <c r="X31" s="6" t="e">
        <f t="shared" si="4"/>
        <v>#VALUE!</v>
      </c>
      <c r="Y31" s="7" t="e">
        <f t="shared" si="5"/>
        <v>#VALUE!</v>
      </c>
      <c r="Z31" s="6" t="e">
        <f t="shared" si="0"/>
        <v>#VALUE!</v>
      </c>
      <c r="AA31" s="7" t="e">
        <f t="shared" si="1"/>
        <v>#VALUE!</v>
      </c>
      <c r="AB31" s="6" t="e">
        <f t="shared" si="6"/>
        <v>#VALUE!</v>
      </c>
      <c r="AC31" s="16" t="e">
        <f t="shared" si="7"/>
        <v>#VALUE!</v>
      </c>
      <c r="AD31" s="16" t="e">
        <f t="shared" si="2"/>
        <v>#VALUE!</v>
      </c>
      <c r="AE31" s="7" t="e">
        <f t="shared" si="3"/>
        <v>#VALUE!</v>
      </c>
    </row>
    <row r="32" spans="11:31" x14ac:dyDescent="0.35">
      <c r="K32">
        <v>32</v>
      </c>
      <c r="X32" s="6" t="e">
        <f t="shared" si="4"/>
        <v>#VALUE!</v>
      </c>
      <c r="Y32" s="7" t="e">
        <f t="shared" si="5"/>
        <v>#VALUE!</v>
      </c>
      <c r="Z32" s="6" t="e">
        <f t="shared" si="0"/>
        <v>#VALUE!</v>
      </c>
      <c r="AA32" s="7" t="e">
        <f t="shared" si="1"/>
        <v>#VALUE!</v>
      </c>
      <c r="AB32" s="6" t="e">
        <f t="shared" si="6"/>
        <v>#VALUE!</v>
      </c>
      <c r="AC32" s="16" t="e">
        <f t="shared" si="7"/>
        <v>#VALUE!</v>
      </c>
      <c r="AD32" s="16" t="e">
        <f t="shared" si="2"/>
        <v>#VALUE!</v>
      </c>
      <c r="AE32" s="7" t="e">
        <f t="shared" si="3"/>
        <v>#VALUE!</v>
      </c>
    </row>
    <row r="33" spans="11:31" x14ac:dyDescent="0.35">
      <c r="K33">
        <v>33</v>
      </c>
      <c r="X33" s="6" t="e">
        <f t="shared" si="4"/>
        <v>#VALUE!</v>
      </c>
      <c r="Y33" s="7" t="e">
        <f t="shared" si="5"/>
        <v>#VALUE!</v>
      </c>
      <c r="Z33" s="6" t="e">
        <f t="shared" si="0"/>
        <v>#VALUE!</v>
      </c>
      <c r="AA33" s="7" t="e">
        <f t="shared" si="1"/>
        <v>#VALUE!</v>
      </c>
      <c r="AB33" s="6" t="e">
        <f t="shared" si="6"/>
        <v>#VALUE!</v>
      </c>
      <c r="AC33" s="16" t="e">
        <f t="shared" si="7"/>
        <v>#VALUE!</v>
      </c>
      <c r="AD33" s="16" t="e">
        <f t="shared" si="2"/>
        <v>#VALUE!</v>
      </c>
      <c r="AE33" s="7" t="e">
        <f t="shared" si="3"/>
        <v>#VALUE!</v>
      </c>
    </row>
    <row r="34" spans="11:31" x14ac:dyDescent="0.35">
      <c r="K34">
        <v>34</v>
      </c>
      <c r="X34" s="6" t="e">
        <f t="shared" si="4"/>
        <v>#VALUE!</v>
      </c>
      <c r="Y34" s="7" t="e">
        <f t="shared" si="5"/>
        <v>#VALUE!</v>
      </c>
      <c r="Z34" s="6" t="e">
        <f t="shared" si="0"/>
        <v>#VALUE!</v>
      </c>
      <c r="AA34" s="7" t="e">
        <f t="shared" si="1"/>
        <v>#VALUE!</v>
      </c>
      <c r="AB34" s="6" t="e">
        <f t="shared" si="6"/>
        <v>#VALUE!</v>
      </c>
      <c r="AC34" s="16" t="e">
        <f t="shared" si="7"/>
        <v>#VALUE!</v>
      </c>
      <c r="AD34" s="16" t="e">
        <f t="shared" si="2"/>
        <v>#VALUE!</v>
      </c>
      <c r="AE34" s="7" t="e">
        <f t="shared" si="3"/>
        <v>#VALUE!</v>
      </c>
    </row>
    <row r="35" spans="11:31" x14ac:dyDescent="0.35">
      <c r="K35">
        <v>35</v>
      </c>
      <c r="X35" s="6" t="e">
        <f t="shared" si="4"/>
        <v>#VALUE!</v>
      </c>
      <c r="Y35" s="7" t="e">
        <f t="shared" si="5"/>
        <v>#VALUE!</v>
      </c>
      <c r="Z35" s="6" t="e">
        <f t="shared" si="0"/>
        <v>#VALUE!</v>
      </c>
      <c r="AA35" s="7" t="e">
        <f t="shared" si="1"/>
        <v>#VALUE!</v>
      </c>
      <c r="AB35" s="6" t="e">
        <f t="shared" si="6"/>
        <v>#VALUE!</v>
      </c>
      <c r="AC35" s="16" t="e">
        <f t="shared" si="7"/>
        <v>#VALUE!</v>
      </c>
      <c r="AD35" s="16" t="e">
        <f t="shared" si="2"/>
        <v>#VALUE!</v>
      </c>
      <c r="AE35" s="7" t="e">
        <f t="shared" si="3"/>
        <v>#VALUE!</v>
      </c>
    </row>
    <row r="36" spans="11:31" x14ac:dyDescent="0.35">
      <c r="K36">
        <v>36</v>
      </c>
      <c r="X36" s="6" t="e">
        <f t="shared" si="4"/>
        <v>#VALUE!</v>
      </c>
      <c r="Y36" s="7" t="e">
        <f t="shared" si="5"/>
        <v>#VALUE!</v>
      </c>
      <c r="Z36" s="6" t="e">
        <f t="shared" si="0"/>
        <v>#VALUE!</v>
      </c>
      <c r="AA36" s="7" t="e">
        <f t="shared" si="1"/>
        <v>#VALUE!</v>
      </c>
      <c r="AB36" s="6" t="e">
        <f t="shared" si="6"/>
        <v>#VALUE!</v>
      </c>
      <c r="AC36" s="16" t="e">
        <f t="shared" si="7"/>
        <v>#VALUE!</v>
      </c>
      <c r="AD36" s="16" t="e">
        <f t="shared" si="2"/>
        <v>#VALUE!</v>
      </c>
      <c r="AE36" s="7" t="e">
        <f t="shared" si="3"/>
        <v>#VALUE!</v>
      </c>
    </row>
    <row r="37" spans="11:31" x14ac:dyDescent="0.35">
      <c r="K37">
        <v>37</v>
      </c>
      <c r="X37" s="6" t="e">
        <f t="shared" si="4"/>
        <v>#VALUE!</v>
      </c>
      <c r="Y37" s="7" t="e">
        <f t="shared" si="5"/>
        <v>#VALUE!</v>
      </c>
      <c r="Z37" s="6" t="e">
        <f t="shared" si="0"/>
        <v>#VALUE!</v>
      </c>
      <c r="AA37" s="7" t="e">
        <f t="shared" si="1"/>
        <v>#VALUE!</v>
      </c>
      <c r="AB37" s="6" t="e">
        <f t="shared" si="6"/>
        <v>#VALUE!</v>
      </c>
      <c r="AC37" s="16" t="e">
        <f t="shared" si="7"/>
        <v>#VALUE!</v>
      </c>
      <c r="AD37" s="16" t="e">
        <f t="shared" si="2"/>
        <v>#VALUE!</v>
      </c>
      <c r="AE37" s="7" t="e">
        <f t="shared" si="3"/>
        <v>#VALUE!</v>
      </c>
    </row>
    <row r="38" spans="11:31" x14ac:dyDescent="0.35">
      <c r="K38">
        <v>38</v>
      </c>
      <c r="X38" s="6" t="e">
        <f t="shared" si="4"/>
        <v>#VALUE!</v>
      </c>
      <c r="Y38" s="7" t="e">
        <f t="shared" si="5"/>
        <v>#VALUE!</v>
      </c>
      <c r="Z38" s="6" t="e">
        <f t="shared" si="0"/>
        <v>#VALUE!</v>
      </c>
      <c r="AA38" s="7" t="e">
        <f t="shared" si="1"/>
        <v>#VALUE!</v>
      </c>
      <c r="AB38" s="6" t="e">
        <f t="shared" si="6"/>
        <v>#VALUE!</v>
      </c>
      <c r="AC38" s="16" t="e">
        <f t="shared" si="7"/>
        <v>#VALUE!</v>
      </c>
      <c r="AD38" s="16" t="e">
        <f t="shared" si="2"/>
        <v>#VALUE!</v>
      </c>
      <c r="AE38" s="7" t="e">
        <f t="shared" si="3"/>
        <v>#VALUE!</v>
      </c>
    </row>
    <row r="39" spans="11:31" x14ac:dyDescent="0.35">
      <c r="K39">
        <v>39</v>
      </c>
      <c r="X39" s="6" t="e">
        <f t="shared" si="4"/>
        <v>#VALUE!</v>
      </c>
      <c r="Y39" s="7" t="e">
        <f t="shared" si="5"/>
        <v>#VALUE!</v>
      </c>
      <c r="Z39" s="6" t="e">
        <f t="shared" si="0"/>
        <v>#VALUE!</v>
      </c>
      <c r="AA39" s="7" t="e">
        <f t="shared" si="1"/>
        <v>#VALUE!</v>
      </c>
      <c r="AB39" s="6" t="e">
        <f t="shared" si="6"/>
        <v>#VALUE!</v>
      </c>
      <c r="AC39" s="16" t="e">
        <f t="shared" si="7"/>
        <v>#VALUE!</v>
      </c>
      <c r="AD39" s="16" t="e">
        <f t="shared" si="2"/>
        <v>#VALUE!</v>
      </c>
      <c r="AE39" s="7" t="e">
        <f t="shared" si="3"/>
        <v>#VALUE!</v>
      </c>
    </row>
    <row r="40" spans="11:31" x14ac:dyDescent="0.35">
      <c r="K40">
        <v>40</v>
      </c>
      <c r="X40" s="6" t="e">
        <f t="shared" si="4"/>
        <v>#VALUE!</v>
      </c>
      <c r="Y40" s="7" t="e">
        <f t="shared" si="5"/>
        <v>#VALUE!</v>
      </c>
      <c r="Z40" s="6" t="e">
        <f t="shared" si="0"/>
        <v>#VALUE!</v>
      </c>
      <c r="AA40" s="7" t="e">
        <f t="shared" si="1"/>
        <v>#VALUE!</v>
      </c>
      <c r="AB40" s="6" t="e">
        <f t="shared" si="6"/>
        <v>#VALUE!</v>
      </c>
      <c r="AC40" s="16" t="e">
        <f t="shared" si="7"/>
        <v>#VALUE!</v>
      </c>
      <c r="AD40" s="16" t="e">
        <f t="shared" si="2"/>
        <v>#VALUE!</v>
      </c>
      <c r="AE40" s="7" t="e">
        <f t="shared" si="3"/>
        <v>#VALUE!</v>
      </c>
    </row>
    <row r="41" spans="11:31" x14ac:dyDescent="0.35">
      <c r="K41">
        <v>41</v>
      </c>
      <c r="X41" s="6" t="e">
        <f t="shared" si="4"/>
        <v>#VALUE!</v>
      </c>
      <c r="Y41" s="7" t="e">
        <f t="shared" si="5"/>
        <v>#VALUE!</v>
      </c>
      <c r="Z41" s="6" t="e">
        <f t="shared" si="0"/>
        <v>#VALUE!</v>
      </c>
      <c r="AA41" s="7" t="e">
        <f t="shared" si="1"/>
        <v>#VALUE!</v>
      </c>
      <c r="AB41" s="6" t="e">
        <f t="shared" si="6"/>
        <v>#VALUE!</v>
      </c>
      <c r="AC41" s="16" t="e">
        <f t="shared" si="7"/>
        <v>#VALUE!</v>
      </c>
      <c r="AD41" s="16" t="e">
        <f t="shared" si="2"/>
        <v>#VALUE!</v>
      </c>
      <c r="AE41" s="7" t="e">
        <f t="shared" si="3"/>
        <v>#VALUE!</v>
      </c>
    </row>
    <row r="42" spans="11:31" x14ac:dyDescent="0.35">
      <c r="K42">
        <v>42</v>
      </c>
      <c r="X42" s="6" t="e">
        <f t="shared" si="4"/>
        <v>#VALUE!</v>
      </c>
      <c r="Y42" s="7" t="e">
        <f t="shared" si="5"/>
        <v>#VALUE!</v>
      </c>
      <c r="Z42" s="6" t="e">
        <f t="shared" si="0"/>
        <v>#VALUE!</v>
      </c>
      <c r="AA42" s="7" t="e">
        <f t="shared" si="1"/>
        <v>#VALUE!</v>
      </c>
      <c r="AB42" s="6" t="e">
        <f t="shared" si="6"/>
        <v>#VALUE!</v>
      </c>
      <c r="AC42" s="16" t="e">
        <f t="shared" si="7"/>
        <v>#VALUE!</v>
      </c>
      <c r="AD42" s="16" t="e">
        <f t="shared" si="2"/>
        <v>#VALUE!</v>
      </c>
      <c r="AE42" s="7" t="e">
        <f t="shared" si="3"/>
        <v>#VALUE!</v>
      </c>
    </row>
    <row r="43" spans="11:31" x14ac:dyDescent="0.35">
      <c r="K43">
        <v>43</v>
      </c>
      <c r="X43" s="6" t="e">
        <f t="shared" si="4"/>
        <v>#VALUE!</v>
      </c>
      <c r="Y43" s="7" t="e">
        <f t="shared" si="5"/>
        <v>#VALUE!</v>
      </c>
      <c r="Z43" s="6" t="e">
        <f t="shared" si="0"/>
        <v>#VALUE!</v>
      </c>
      <c r="AA43" s="7" t="e">
        <f t="shared" si="1"/>
        <v>#VALUE!</v>
      </c>
      <c r="AB43" s="6" t="e">
        <f t="shared" si="6"/>
        <v>#VALUE!</v>
      </c>
      <c r="AC43" s="16" t="e">
        <f t="shared" si="7"/>
        <v>#VALUE!</v>
      </c>
      <c r="AD43" s="16" t="e">
        <f t="shared" si="2"/>
        <v>#VALUE!</v>
      </c>
      <c r="AE43" s="7" t="e">
        <f t="shared" si="3"/>
        <v>#VALUE!</v>
      </c>
    </row>
    <row r="44" spans="11:31" x14ac:dyDescent="0.35">
      <c r="K44">
        <v>44</v>
      </c>
      <c r="X44" s="6" t="e">
        <f t="shared" si="4"/>
        <v>#VALUE!</v>
      </c>
      <c r="Y44" s="7" t="e">
        <f t="shared" si="5"/>
        <v>#VALUE!</v>
      </c>
      <c r="Z44" s="6" t="e">
        <f t="shared" si="0"/>
        <v>#VALUE!</v>
      </c>
      <c r="AA44" s="7" t="e">
        <f t="shared" si="1"/>
        <v>#VALUE!</v>
      </c>
      <c r="AB44" s="6" t="e">
        <f t="shared" si="6"/>
        <v>#VALUE!</v>
      </c>
      <c r="AC44" s="16" t="e">
        <f t="shared" si="7"/>
        <v>#VALUE!</v>
      </c>
      <c r="AD44" s="16" t="e">
        <f t="shared" si="2"/>
        <v>#VALUE!</v>
      </c>
      <c r="AE44" s="7" t="e">
        <f t="shared" si="3"/>
        <v>#VALUE!</v>
      </c>
    </row>
    <row r="45" spans="11:31" x14ac:dyDescent="0.35">
      <c r="K45">
        <v>45</v>
      </c>
      <c r="X45" s="6" t="e">
        <f t="shared" si="4"/>
        <v>#VALUE!</v>
      </c>
      <c r="Y45" s="7" t="e">
        <f t="shared" si="5"/>
        <v>#VALUE!</v>
      </c>
      <c r="Z45" s="6" t="e">
        <f t="shared" si="0"/>
        <v>#VALUE!</v>
      </c>
      <c r="AA45" s="7" t="e">
        <f t="shared" si="1"/>
        <v>#VALUE!</v>
      </c>
      <c r="AB45" s="6" t="e">
        <f t="shared" si="6"/>
        <v>#VALUE!</v>
      </c>
      <c r="AC45" s="16" t="e">
        <f t="shared" si="7"/>
        <v>#VALUE!</v>
      </c>
      <c r="AD45" s="16" t="e">
        <f t="shared" si="2"/>
        <v>#VALUE!</v>
      </c>
      <c r="AE45" s="7" t="e">
        <f t="shared" si="3"/>
        <v>#VALUE!</v>
      </c>
    </row>
    <row r="46" spans="11:31" x14ac:dyDescent="0.35">
      <c r="K46">
        <v>46</v>
      </c>
      <c r="X46" s="6" t="e">
        <f t="shared" si="4"/>
        <v>#VALUE!</v>
      </c>
      <c r="Y46" s="7" t="e">
        <f t="shared" si="5"/>
        <v>#VALUE!</v>
      </c>
      <c r="Z46" s="6" t="e">
        <f t="shared" si="0"/>
        <v>#VALUE!</v>
      </c>
      <c r="AA46" s="7" t="e">
        <f t="shared" si="1"/>
        <v>#VALUE!</v>
      </c>
      <c r="AB46" s="6" t="e">
        <f t="shared" si="6"/>
        <v>#VALUE!</v>
      </c>
      <c r="AC46" s="16" t="e">
        <f t="shared" si="7"/>
        <v>#VALUE!</v>
      </c>
      <c r="AD46" s="16" t="e">
        <f t="shared" si="2"/>
        <v>#VALUE!</v>
      </c>
      <c r="AE46" s="7" t="e">
        <f t="shared" si="3"/>
        <v>#VALUE!</v>
      </c>
    </row>
    <row r="47" spans="11:31" x14ac:dyDescent="0.35">
      <c r="K47">
        <v>47</v>
      </c>
      <c r="X47" s="6" t="e">
        <f t="shared" si="4"/>
        <v>#VALUE!</v>
      </c>
      <c r="Y47" s="7" t="e">
        <f t="shared" si="5"/>
        <v>#VALUE!</v>
      </c>
      <c r="Z47" s="6" t="e">
        <f t="shared" si="0"/>
        <v>#VALUE!</v>
      </c>
      <c r="AA47" s="7" t="e">
        <f t="shared" si="1"/>
        <v>#VALUE!</v>
      </c>
      <c r="AB47" s="6" t="e">
        <f t="shared" si="6"/>
        <v>#VALUE!</v>
      </c>
      <c r="AC47" s="16" t="e">
        <f t="shared" si="7"/>
        <v>#VALUE!</v>
      </c>
      <c r="AD47" s="16" t="e">
        <f t="shared" si="2"/>
        <v>#VALUE!</v>
      </c>
      <c r="AE47" s="7" t="e">
        <f t="shared" si="3"/>
        <v>#VALUE!</v>
      </c>
    </row>
    <row r="48" spans="11:31" x14ac:dyDescent="0.35">
      <c r="K48">
        <v>48</v>
      </c>
      <c r="X48" s="6" t="e">
        <f t="shared" si="4"/>
        <v>#VALUE!</v>
      </c>
      <c r="Y48" s="7" t="e">
        <f t="shared" si="5"/>
        <v>#VALUE!</v>
      </c>
      <c r="Z48" s="6" t="e">
        <f t="shared" si="0"/>
        <v>#VALUE!</v>
      </c>
      <c r="AA48" s="7" t="e">
        <f t="shared" si="1"/>
        <v>#VALUE!</v>
      </c>
      <c r="AB48" s="6" t="e">
        <f t="shared" si="6"/>
        <v>#VALUE!</v>
      </c>
      <c r="AC48" s="16" t="e">
        <f t="shared" si="7"/>
        <v>#VALUE!</v>
      </c>
      <c r="AD48" s="16" t="e">
        <f t="shared" si="2"/>
        <v>#VALUE!</v>
      </c>
      <c r="AE48" s="7" t="e">
        <f t="shared" si="3"/>
        <v>#VALUE!</v>
      </c>
    </row>
    <row r="49" spans="11:31" x14ac:dyDescent="0.35">
      <c r="K49">
        <v>49</v>
      </c>
      <c r="X49" s="6" t="e">
        <f t="shared" si="4"/>
        <v>#VALUE!</v>
      </c>
      <c r="Y49" s="7" t="e">
        <f t="shared" si="5"/>
        <v>#VALUE!</v>
      </c>
      <c r="Z49" s="6" t="e">
        <f t="shared" si="0"/>
        <v>#VALUE!</v>
      </c>
      <c r="AA49" s="7" t="e">
        <f t="shared" si="1"/>
        <v>#VALUE!</v>
      </c>
      <c r="AB49" s="6" t="e">
        <f t="shared" si="6"/>
        <v>#VALUE!</v>
      </c>
      <c r="AC49" s="16" t="e">
        <f t="shared" si="7"/>
        <v>#VALUE!</v>
      </c>
      <c r="AD49" s="16" t="e">
        <f t="shared" si="2"/>
        <v>#VALUE!</v>
      </c>
      <c r="AE49" s="7" t="e">
        <f t="shared" si="3"/>
        <v>#VALUE!</v>
      </c>
    </row>
    <row r="50" spans="11:31" x14ac:dyDescent="0.35">
      <c r="K50">
        <v>50</v>
      </c>
      <c r="X50" s="6" t="e">
        <f t="shared" si="4"/>
        <v>#VALUE!</v>
      </c>
      <c r="Y50" s="7" t="e">
        <f t="shared" si="5"/>
        <v>#VALUE!</v>
      </c>
      <c r="Z50" s="6" t="e">
        <f t="shared" si="0"/>
        <v>#VALUE!</v>
      </c>
      <c r="AA50" s="7" t="e">
        <f t="shared" si="1"/>
        <v>#VALUE!</v>
      </c>
      <c r="AB50" s="6" t="e">
        <f t="shared" si="6"/>
        <v>#VALUE!</v>
      </c>
      <c r="AC50" s="16" t="e">
        <f t="shared" si="7"/>
        <v>#VALUE!</v>
      </c>
      <c r="AD50" s="16" t="e">
        <f t="shared" si="2"/>
        <v>#VALUE!</v>
      </c>
      <c r="AE50" s="7" t="e">
        <f t="shared" si="3"/>
        <v>#VALUE!</v>
      </c>
    </row>
    <row r="51" spans="11:31" x14ac:dyDescent="0.35">
      <c r="K51">
        <v>51</v>
      </c>
      <c r="X51" s="6" t="e">
        <f t="shared" si="4"/>
        <v>#VALUE!</v>
      </c>
      <c r="Y51" s="7" t="e">
        <f t="shared" si="5"/>
        <v>#VALUE!</v>
      </c>
      <c r="Z51" s="6" t="e">
        <f t="shared" si="0"/>
        <v>#VALUE!</v>
      </c>
      <c r="AA51" s="7" t="e">
        <f t="shared" si="1"/>
        <v>#VALUE!</v>
      </c>
      <c r="AB51" s="6" t="e">
        <f t="shared" si="6"/>
        <v>#VALUE!</v>
      </c>
      <c r="AC51" s="16" t="e">
        <f t="shared" si="7"/>
        <v>#VALUE!</v>
      </c>
      <c r="AD51" s="16" t="e">
        <f t="shared" si="2"/>
        <v>#VALUE!</v>
      </c>
      <c r="AE51" s="7" t="e">
        <f t="shared" si="3"/>
        <v>#VALUE!</v>
      </c>
    </row>
    <row r="52" spans="11:31" x14ac:dyDescent="0.35">
      <c r="K52">
        <v>52</v>
      </c>
      <c r="X52" s="6" t="e">
        <f t="shared" si="4"/>
        <v>#VALUE!</v>
      </c>
      <c r="Y52" s="7" t="e">
        <f t="shared" si="5"/>
        <v>#VALUE!</v>
      </c>
      <c r="Z52" s="6" t="e">
        <f t="shared" si="0"/>
        <v>#VALUE!</v>
      </c>
      <c r="AA52" s="7" t="e">
        <f t="shared" si="1"/>
        <v>#VALUE!</v>
      </c>
      <c r="AB52" s="6" t="e">
        <f t="shared" si="6"/>
        <v>#VALUE!</v>
      </c>
      <c r="AC52" s="16" t="e">
        <f t="shared" si="7"/>
        <v>#VALUE!</v>
      </c>
      <c r="AD52" s="16" t="e">
        <f t="shared" si="2"/>
        <v>#VALUE!</v>
      </c>
      <c r="AE52" s="7" t="e">
        <f t="shared" si="3"/>
        <v>#VALUE!</v>
      </c>
    </row>
    <row r="53" spans="11:31" x14ac:dyDescent="0.35">
      <c r="K53">
        <v>53</v>
      </c>
      <c r="X53" s="6" t="e">
        <f t="shared" si="4"/>
        <v>#VALUE!</v>
      </c>
      <c r="Y53" s="7" t="e">
        <f t="shared" si="5"/>
        <v>#VALUE!</v>
      </c>
      <c r="Z53" s="6" t="e">
        <f t="shared" si="0"/>
        <v>#VALUE!</v>
      </c>
      <c r="AA53" s="7" t="e">
        <f t="shared" si="1"/>
        <v>#VALUE!</v>
      </c>
      <c r="AB53" s="6" t="e">
        <f t="shared" si="6"/>
        <v>#VALUE!</v>
      </c>
      <c r="AC53" s="16" t="e">
        <f t="shared" si="7"/>
        <v>#VALUE!</v>
      </c>
      <c r="AD53" s="16" t="e">
        <f t="shared" si="2"/>
        <v>#VALUE!</v>
      </c>
      <c r="AE53" s="7" t="e">
        <f t="shared" si="3"/>
        <v>#VALUE!</v>
      </c>
    </row>
    <row r="54" spans="11:31" x14ac:dyDescent="0.35">
      <c r="K54">
        <v>54</v>
      </c>
      <c r="X54" s="6" t="e">
        <f t="shared" si="4"/>
        <v>#VALUE!</v>
      </c>
      <c r="Y54" s="7" t="e">
        <f t="shared" si="5"/>
        <v>#VALUE!</v>
      </c>
      <c r="Z54" s="6" t="e">
        <f t="shared" si="0"/>
        <v>#VALUE!</v>
      </c>
      <c r="AA54" s="7" t="e">
        <f t="shared" si="1"/>
        <v>#VALUE!</v>
      </c>
      <c r="AB54" s="6" t="e">
        <f t="shared" si="6"/>
        <v>#VALUE!</v>
      </c>
      <c r="AC54" s="16" t="e">
        <f t="shared" si="7"/>
        <v>#VALUE!</v>
      </c>
      <c r="AD54" s="16" t="e">
        <f t="shared" si="2"/>
        <v>#VALUE!</v>
      </c>
      <c r="AE54" s="7" t="e">
        <f t="shared" si="3"/>
        <v>#VALUE!</v>
      </c>
    </row>
    <row r="55" spans="11:31" x14ac:dyDescent="0.35">
      <c r="K55">
        <v>55</v>
      </c>
      <c r="X55" s="6" t="e">
        <f t="shared" si="4"/>
        <v>#VALUE!</v>
      </c>
      <c r="Y55" s="7" t="e">
        <f t="shared" si="5"/>
        <v>#VALUE!</v>
      </c>
      <c r="Z55" s="6" t="e">
        <f t="shared" si="0"/>
        <v>#VALUE!</v>
      </c>
      <c r="AA55" s="7" t="e">
        <f t="shared" si="1"/>
        <v>#VALUE!</v>
      </c>
      <c r="AB55" s="6" t="e">
        <f t="shared" si="6"/>
        <v>#VALUE!</v>
      </c>
      <c r="AC55" s="16" t="e">
        <f t="shared" si="7"/>
        <v>#VALUE!</v>
      </c>
      <c r="AD55" s="16" t="e">
        <f t="shared" si="2"/>
        <v>#VALUE!</v>
      </c>
      <c r="AE55" s="7" t="e">
        <f t="shared" si="3"/>
        <v>#VALUE!</v>
      </c>
    </row>
    <row r="56" spans="11:31" x14ac:dyDescent="0.35">
      <c r="K56">
        <v>56</v>
      </c>
      <c r="X56" s="6" t="e">
        <f t="shared" si="4"/>
        <v>#VALUE!</v>
      </c>
      <c r="Y56" s="7" t="e">
        <f t="shared" si="5"/>
        <v>#VALUE!</v>
      </c>
      <c r="Z56" s="6" t="e">
        <f t="shared" si="0"/>
        <v>#VALUE!</v>
      </c>
      <c r="AA56" s="7" t="e">
        <f t="shared" si="1"/>
        <v>#VALUE!</v>
      </c>
      <c r="AB56" s="6" t="e">
        <f t="shared" si="6"/>
        <v>#VALUE!</v>
      </c>
      <c r="AC56" s="16" t="e">
        <f t="shared" si="7"/>
        <v>#VALUE!</v>
      </c>
      <c r="AD56" s="16" t="e">
        <f t="shared" si="2"/>
        <v>#VALUE!</v>
      </c>
      <c r="AE56" s="7" t="e">
        <f t="shared" si="3"/>
        <v>#VALUE!</v>
      </c>
    </row>
    <row r="57" spans="11:31" x14ac:dyDescent="0.35">
      <c r="K57">
        <v>57</v>
      </c>
      <c r="X57" s="6" t="e">
        <f t="shared" si="4"/>
        <v>#VALUE!</v>
      </c>
      <c r="Y57" s="7" t="e">
        <f t="shared" si="5"/>
        <v>#VALUE!</v>
      </c>
      <c r="Z57" s="6" t="e">
        <f t="shared" si="0"/>
        <v>#VALUE!</v>
      </c>
      <c r="AA57" s="7" t="e">
        <f t="shared" si="1"/>
        <v>#VALUE!</v>
      </c>
      <c r="AB57" s="6" t="e">
        <f t="shared" si="6"/>
        <v>#VALUE!</v>
      </c>
      <c r="AC57" s="16" t="e">
        <f t="shared" si="7"/>
        <v>#VALUE!</v>
      </c>
      <c r="AD57" s="16" t="e">
        <f t="shared" si="2"/>
        <v>#VALUE!</v>
      </c>
      <c r="AE57" s="7" t="e">
        <f t="shared" si="3"/>
        <v>#VALUE!</v>
      </c>
    </row>
    <row r="58" spans="11:31" x14ac:dyDescent="0.35">
      <c r="K58">
        <v>58</v>
      </c>
      <c r="X58" s="6" t="e">
        <f t="shared" si="4"/>
        <v>#VALUE!</v>
      </c>
      <c r="Y58" s="7" t="e">
        <f t="shared" si="5"/>
        <v>#VALUE!</v>
      </c>
      <c r="Z58" s="6" t="e">
        <f t="shared" si="0"/>
        <v>#VALUE!</v>
      </c>
      <c r="AA58" s="7" t="e">
        <f t="shared" si="1"/>
        <v>#VALUE!</v>
      </c>
      <c r="AB58" s="6" t="e">
        <f t="shared" si="6"/>
        <v>#VALUE!</v>
      </c>
      <c r="AC58" s="16" t="e">
        <f t="shared" si="7"/>
        <v>#VALUE!</v>
      </c>
      <c r="AD58" s="16" t="e">
        <f t="shared" si="2"/>
        <v>#VALUE!</v>
      </c>
      <c r="AE58" s="7" t="e">
        <f t="shared" si="3"/>
        <v>#VALUE!</v>
      </c>
    </row>
    <row r="59" spans="11:31" x14ac:dyDescent="0.35">
      <c r="K59">
        <v>59</v>
      </c>
      <c r="X59" s="6" t="e">
        <f t="shared" si="4"/>
        <v>#VALUE!</v>
      </c>
      <c r="Y59" s="7" t="e">
        <f t="shared" si="5"/>
        <v>#VALUE!</v>
      </c>
      <c r="Z59" s="6" t="e">
        <f t="shared" si="0"/>
        <v>#VALUE!</v>
      </c>
      <c r="AA59" s="7" t="e">
        <f t="shared" si="1"/>
        <v>#VALUE!</v>
      </c>
      <c r="AB59" s="6" t="e">
        <f t="shared" si="6"/>
        <v>#VALUE!</v>
      </c>
      <c r="AC59" s="16" t="e">
        <f t="shared" si="7"/>
        <v>#VALUE!</v>
      </c>
      <c r="AD59" s="16" t="e">
        <f t="shared" si="2"/>
        <v>#VALUE!</v>
      </c>
      <c r="AE59" s="7" t="e">
        <f t="shared" si="3"/>
        <v>#VALUE!</v>
      </c>
    </row>
    <row r="60" spans="11:31" x14ac:dyDescent="0.35">
      <c r="K60">
        <v>60</v>
      </c>
      <c r="X60" s="6" t="e">
        <f t="shared" si="4"/>
        <v>#VALUE!</v>
      </c>
      <c r="Y60" s="7" t="e">
        <f t="shared" si="5"/>
        <v>#VALUE!</v>
      </c>
      <c r="Z60" s="6" t="e">
        <f t="shared" si="0"/>
        <v>#VALUE!</v>
      </c>
      <c r="AA60" s="7" t="e">
        <f t="shared" si="1"/>
        <v>#VALUE!</v>
      </c>
      <c r="AB60" s="6" t="e">
        <f t="shared" si="6"/>
        <v>#VALUE!</v>
      </c>
      <c r="AC60" s="16" t="e">
        <f t="shared" si="7"/>
        <v>#VALUE!</v>
      </c>
      <c r="AD60" s="16" t="e">
        <f t="shared" si="2"/>
        <v>#VALUE!</v>
      </c>
      <c r="AE60" s="7" t="e">
        <f t="shared" si="3"/>
        <v>#VALUE!</v>
      </c>
    </row>
    <row r="61" spans="11:31" x14ac:dyDescent="0.35">
      <c r="K61">
        <v>61</v>
      </c>
      <c r="X61" s="6" t="e">
        <f t="shared" si="4"/>
        <v>#VALUE!</v>
      </c>
      <c r="Y61" s="7" t="e">
        <f t="shared" si="5"/>
        <v>#VALUE!</v>
      </c>
      <c r="Z61" s="6" t="e">
        <f t="shared" si="0"/>
        <v>#VALUE!</v>
      </c>
      <c r="AA61" s="7" t="e">
        <f t="shared" si="1"/>
        <v>#VALUE!</v>
      </c>
      <c r="AB61" s="6" t="e">
        <f t="shared" si="6"/>
        <v>#VALUE!</v>
      </c>
      <c r="AC61" s="16" t="e">
        <f t="shared" si="7"/>
        <v>#VALUE!</v>
      </c>
      <c r="AD61" s="16" t="e">
        <f t="shared" si="2"/>
        <v>#VALUE!</v>
      </c>
      <c r="AE61" s="7" t="e">
        <f t="shared" si="3"/>
        <v>#VALUE!</v>
      </c>
    </row>
    <row r="62" spans="11:31" x14ac:dyDescent="0.35">
      <c r="K62">
        <v>62</v>
      </c>
      <c r="X62" s="6" t="e">
        <f t="shared" si="4"/>
        <v>#VALUE!</v>
      </c>
      <c r="Y62" s="7" t="e">
        <f t="shared" si="5"/>
        <v>#VALUE!</v>
      </c>
      <c r="Z62" s="6" t="e">
        <f t="shared" si="0"/>
        <v>#VALUE!</v>
      </c>
      <c r="AA62" s="7" t="e">
        <f t="shared" si="1"/>
        <v>#VALUE!</v>
      </c>
      <c r="AB62" s="6" t="e">
        <f t="shared" si="6"/>
        <v>#VALUE!</v>
      </c>
      <c r="AC62" s="16" t="e">
        <f t="shared" si="7"/>
        <v>#VALUE!</v>
      </c>
      <c r="AD62" s="16" t="e">
        <f t="shared" si="2"/>
        <v>#VALUE!</v>
      </c>
      <c r="AE62" s="7" t="e">
        <f t="shared" si="3"/>
        <v>#VALUE!</v>
      </c>
    </row>
    <row r="63" spans="11:31" x14ac:dyDescent="0.35">
      <c r="K63">
        <v>63</v>
      </c>
      <c r="X63" s="6" t="e">
        <f t="shared" si="4"/>
        <v>#VALUE!</v>
      </c>
      <c r="Y63" s="7" t="e">
        <f t="shared" si="5"/>
        <v>#VALUE!</v>
      </c>
      <c r="Z63" s="6" t="e">
        <f t="shared" si="0"/>
        <v>#VALUE!</v>
      </c>
      <c r="AA63" s="7" t="e">
        <f t="shared" si="1"/>
        <v>#VALUE!</v>
      </c>
      <c r="AB63" s="6" t="e">
        <f t="shared" si="6"/>
        <v>#VALUE!</v>
      </c>
      <c r="AC63" s="16" t="e">
        <f t="shared" si="7"/>
        <v>#VALUE!</v>
      </c>
      <c r="AD63" s="16" t="e">
        <f t="shared" si="2"/>
        <v>#VALUE!</v>
      </c>
      <c r="AE63" s="7" t="e">
        <f t="shared" si="3"/>
        <v>#VALUE!</v>
      </c>
    </row>
    <row r="64" spans="11:31" x14ac:dyDescent="0.35">
      <c r="K64">
        <v>64</v>
      </c>
      <c r="X64" s="6" t="e">
        <f t="shared" si="4"/>
        <v>#VALUE!</v>
      </c>
      <c r="Y64" s="7" t="e">
        <f t="shared" si="5"/>
        <v>#VALUE!</v>
      </c>
      <c r="Z64" s="6" t="e">
        <f t="shared" si="0"/>
        <v>#VALUE!</v>
      </c>
      <c r="AA64" s="7" t="e">
        <f t="shared" si="1"/>
        <v>#VALUE!</v>
      </c>
      <c r="AB64" s="6" t="e">
        <f t="shared" si="6"/>
        <v>#VALUE!</v>
      </c>
      <c r="AC64" s="16" t="e">
        <f t="shared" si="7"/>
        <v>#VALUE!</v>
      </c>
      <c r="AD64" s="16" t="e">
        <f t="shared" si="2"/>
        <v>#VALUE!</v>
      </c>
      <c r="AE64" s="7" t="e">
        <f t="shared" si="3"/>
        <v>#VALUE!</v>
      </c>
    </row>
    <row r="65" spans="11:31" x14ac:dyDescent="0.35">
      <c r="K65">
        <v>65</v>
      </c>
      <c r="X65" s="6" t="e">
        <f t="shared" si="4"/>
        <v>#VALUE!</v>
      </c>
      <c r="Y65" s="7" t="e">
        <f t="shared" si="5"/>
        <v>#VALUE!</v>
      </c>
      <c r="Z65" s="6" t="e">
        <f t="shared" ref="Z65:Z128" si="8">MOD(X65^3+a*X65+b,prime)</f>
        <v>#VALUE!</v>
      </c>
      <c r="AA65" s="7" t="e">
        <f t="shared" ref="AA65:AA128" si="9">MOD(Y65*Y65,prime)</f>
        <v>#VALUE!</v>
      </c>
      <c r="AB65" s="6" t="e">
        <f t="shared" si="6"/>
        <v>#VALUE!</v>
      </c>
      <c r="AC65" s="16" t="e">
        <f t="shared" si="7"/>
        <v>#VALUE!</v>
      </c>
      <c r="AD65" s="16" t="e">
        <f t="shared" ref="AD65:AD128" si="10">modInv(AC65,prime)</f>
        <v>#VALUE!</v>
      </c>
      <c r="AE65" s="7" t="e">
        <f t="shared" ref="AE65:AE128" si="11">MOD(AB65*AD65,prime)</f>
        <v>#VALUE!</v>
      </c>
    </row>
    <row r="66" spans="11:31" x14ac:dyDescent="0.35">
      <c r="K66">
        <v>66</v>
      </c>
      <c r="X66" s="6" t="e">
        <f t="shared" ref="X66:X129" si="12">MOD(AE65*AE65-X65-$X$1,prime)</f>
        <v>#VALUE!</v>
      </c>
      <c r="Y66" s="7" t="e">
        <f t="shared" ref="Y66:Y129" si="13">MOD(AE65*($X$1-X66)-$Y$1,prime)</f>
        <v>#VALUE!</v>
      </c>
      <c r="Z66" s="6" t="e">
        <f t="shared" si="8"/>
        <v>#VALUE!</v>
      </c>
      <c r="AA66" s="7" t="e">
        <f t="shared" si="9"/>
        <v>#VALUE!</v>
      </c>
      <c r="AB66" s="6" t="e">
        <f t="shared" ref="AB66:AB129" si="14">($Y$1-Y66)</f>
        <v>#VALUE!</v>
      </c>
      <c r="AC66" s="16" t="e">
        <f t="shared" ref="AC66:AC129" si="15">($X$1-X66)</f>
        <v>#VALUE!</v>
      </c>
      <c r="AD66" s="16" t="e">
        <f t="shared" si="10"/>
        <v>#VALUE!</v>
      </c>
      <c r="AE66" s="7" t="e">
        <f t="shared" si="11"/>
        <v>#VALUE!</v>
      </c>
    </row>
    <row r="67" spans="11:31" x14ac:dyDescent="0.35">
      <c r="K67">
        <v>67</v>
      </c>
      <c r="X67" s="6" t="e">
        <f t="shared" si="12"/>
        <v>#VALUE!</v>
      </c>
      <c r="Y67" s="7" t="e">
        <f t="shared" si="13"/>
        <v>#VALUE!</v>
      </c>
      <c r="Z67" s="6" t="e">
        <f t="shared" si="8"/>
        <v>#VALUE!</v>
      </c>
      <c r="AA67" s="7" t="e">
        <f t="shared" si="9"/>
        <v>#VALUE!</v>
      </c>
      <c r="AB67" s="6" t="e">
        <f t="shared" si="14"/>
        <v>#VALUE!</v>
      </c>
      <c r="AC67" s="16" t="e">
        <f t="shared" si="15"/>
        <v>#VALUE!</v>
      </c>
      <c r="AD67" s="16" t="e">
        <f t="shared" si="10"/>
        <v>#VALUE!</v>
      </c>
      <c r="AE67" s="7" t="e">
        <f t="shared" si="11"/>
        <v>#VALUE!</v>
      </c>
    </row>
    <row r="68" spans="11:31" x14ac:dyDescent="0.35">
      <c r="K68">
        <v>68</v>
      </c>
      <c r="X68" s="6" t="e">
        <f t="shared" si="12"/>
        <v>#VALUE!</v>
      </c>
      <c r="Y68" s="7" t="e">
        <f t="shared" si="13"/>
        <v>#VALUE!</v>
      </c>
      <c r="Z68" s="6" t="e">
        <f t="shared" si="8"/>
        <v>#VALUE!</v>
      </c>
      <c r="AA68" s="7" t="e">
        <f t="shared" si="9"/>
        <v>#VALUE!</v>
      </c>
      <c r="AB68" s="6" t="e">
        <f t="shared" si="14"/>
        <v>#VALUE!</v>
      </c>
      <c r="AC68" s="16" t="e">
        <f t="shared" si="15"/>
        <v>#VALUE!</v>
      </c>
      <c r="AD68" s="16" t="e">
        <f t="shared" si="10"/>
        <v>#VALUE!</v>
      </c>
      <c r="AE68" s="7" t="e">
        <f t="shared" si="11"/>
        <v>#VALUE!</v>
      </c>
    </row>
    <row r="69" spans="11:31" x14ac:dyDescent="0.35">
      <c r="K69">
        <v>69</v>
      </c>
      <c r="X69" s="6" t="e">
        <f t="shared" si="12"/>
        <v>#VALUE!</v>
      </c>
      <c r="Y69" s="7" t="e">
        <f t="shared" si="13"/>
        <v>#VALUE!</v>
      </c>
      <c r="Z69" s="6" t="e">
        <f t="shared" si="8"/>
        <v>#VALUE!</v>
      </c>
      <c r="AA69" s="7" t="e">
        <f t="shared" si="9"/>
        <v>#VALUE!</v>
      </c>
      <c r="AB69" s="6" t="e">
        <f t="shared" si="14"/>
        <v>#VALUE!</v>
      </c>
      <c r="AC69" s="16" t="e">
        <f t="shared" si="15"/>
        <v>#VALUE!</v>
      </c>
      <c r="AD69" s="16" t="e">
        <f t="shared" si="10"/>
        <v>#VALUE!</v>
      </c>
      <c r="AE69" s="7" t="e">
        <f t="shared" si="11"/>
        <v>#VALUE!</v>
      </c>
    </row>
    <row r="70" spans="11:31" x14ac:dyDescent="0.35">
      <c r="K70">
        <v>70</v>
      </c>
      <c r="X70" s="6" t="e">
        <f t="shared" si="12"/>
        <v>#VALUE!</v>
      </c>
      <c r="Y70" s="7" t="e">
        <f t="shared" si="13"/>
        <v>#VALUE!</v>
      </c>
      <c r="Z70" s="6" t="e">
        <f t="shared" si="8"/>
        <v>#VALUE!</v>
      </c>
      <c r="AA70" s="7" t="e">
        <f t="shared" si="9"/>
        <v>#VALUE!</v>
      </c>
      <c r="AB70" s="6" t="e">
        <f t="shared" si="14"/>
        <v>#VALUE!</v>
      </c>
      <c r="AC70" s="16" t="e">
        <f t="shared" si="15"/>
        <v>#VALUE!</v>
      </c>
      <c r="AD70" s="16" t="e">
        <f t="shared" si="10"/>
        <v>#VALUE!</v>
      </c>
      <c r="AE70" s="7" t="e">
        <f t="shared" si="11"/>
        <v>#VALUE!</v>
      </c>
    </row>
    <row r="71" spans="11:31" x14ac:dyDescent="0.35">
      <c r="K71">
        <v>71</v>
      </c>
      <c r="X71" s="6" t="e">
        <f t="shared" si="12"/>
        <v>#VALUE!</v>
      </c>
      <c r="Y71" s="7" t="e">
        <f t="shared" si="13"/>
        <v>#VALUE!</v>
      </c>
      <c r="Z71" s="6" t="e">
        <f t="shared" si="8"/>
        <v>#VALUE!</v>
      </c>
      <c r="AA71" s="7" t="e">
        <f t="shared" si="9"/>
        <v>#VALUE!</v>
      </c>
      <c r="AB71" s="6" t="e">
        <f t="shared" si="14"/>
        <v>#VALUE!</v>
      </c>
      <c r="AC71" s="16" t="e">
        <f t="shared" si="15"/>
        <v>#VALUE!</v>
      </c>
      <c r="AD71" s="16" t="e">
        <f t="shared" si="10"/>
        <v>#VALUE!</v>
      </c>
      <c r="AE71" s="7" t="e">
        <f t="shared" si="11"/>
        <v>#VALUE!</v>
      </c>
    </row>
    <row r="72" spans="11:31" x14ac:dyDescent="0.35">
      <c r="K72">
        <v>72</v>
      </c>
      <c r="X72" s="6" t="e">
        <f t="shared" si="12"/>
        <v>#VALUE!</v>
      </c>
      <c r="Y72" s="7" t="e">
        <f t="shared" si="13"/>
        <v>#VALUE!</v>
      </c>
      <c r="Z72" s="6" t="e">
        <f t="shared" si="8"/>
        <v>#VALUE!</v>
      </c>
      <c r="AA72" s="7" t="e">
        <f t="shared" si="9"/>
        <v>#VALUE!</v>
      </c>
      <c r="AB72" s="6" t="e">
        <f t="shared" si="14"/>
        <v>#VALUE!</v>
      </c>
      <c r="AC72" s="16" t="e">
        <f t="shared" si="15"/>
        <v>#VALUE!</v>
      </c>
      <c r="AD72" s="16" t="e">
        <f t="shared" si="10"/>
        <v>#VALUE!</v>
      </c>
      <c r="AE72" s="7" t="e">
        <f t="shared" si="11"/>
        <v>#VALUE!</v>
      </c>
    </row>
    <row r="73" spans="11:31" x14ac:dyDescent="0.35">
      <c r="K73">
        <v>73</v>
      </c>
      <c r="X73" s="6" t="e">
        <f t="shared" si="12"/>
        <v>#VALUE!</v>
      </c>
      <c r="Y73" s="7" t="e">
        <f t="shared" si="13"/>
        <v>#VALUE!</v>
      </c>
      <c r="Z73" s="6" t="e">
        <f t="shared" si="8"/>
        <v>#VALUE!</v>
      </c>
      <c r="AA73" s="7" t="e">
        <f t="shared" si="9"/>
        <v>#VALUE!</v>
      </c>
      <c r="AB73" s="6" t="e">
        <f t="shared" si="14"/>
        <v>#VALUE!</v>
      </c>
      <c r="AC73" s="16" t="e">
        <f t="shared" si="15"/>
        <v>#VALUE!</v>
      </c>
      <c r="AD73" s="16" t="e">
        <f t="shared" si="10"/>
        <v>#VALUE!</v>
      </c>
      <c r="AE73" s="7" t="e">
        <f t="shared" si="11"/>
        <v>#VALUE!</v>
      </c>
    </row>
    <row r="74" spans="11:31" x14ac:dyDescent="0.35">
      <c r="K74">
        <v>74</v>
      </c>
      <c r="X74" s="6" t="e">
        <f t="shared" si="12"/>
        <v>#VALUE!</v>
      </c>
      <c r="Y74" s="7" t="e">
        <f t="shared" si="13"/>
        <v>#VALUE!</v>
      </c>
      <c r="Z74" s="6" t="e">
        <f t="shared" si="8"/>
        <v>#VALUE!</v>
      </c>
      <c r="AA74" s="7" t="e">
        <f t="shared" si="9"/>
        <v>#VALUE!</v>
      </c>
      <c r="AB74" s="6" t="e">
        <f t="shared" si="14"/>
        <v>#VALUE!</v>
      </c>
      <c r="AC74" s="16" t="e">
        <f t="shared" si="15"/>
        <v>#VALUE!</v>
      </c>
      <c r="AD74" s="16" t="e">
        <f t="shared" si="10"/>
        <v>#VALUE!</v>
      </c>
      <c r="AE74" s="7" t="e">
        <f t="shared" si="11"/>
        <v>#VALUE!</v>
      </c>
    </row>
    <row r="75" spans="11:31" x14ac:dyDescent="0.35">
      <c r="K75">
        <v>75</v>
      </c>
      <c r="X75" s="6" t="e">
        <f t="shared" si="12"/>
        <v>#VALUE!</v>
      </c>
      <c r="Y75" s="7" t="e">
        <f t="shared" si="13"/>
        <v>#VALUE!</v>
      </c>
      <c r="Z75" s="6" t="e">
        <f t="shared" si="8"/>
        <v>#VALUE!</v>
      </c>
      <c r="AA75" s="7" t="e">
        <f t="shared" si="9"/>
        <v>#VALUE!</v>
      </c>
      <c r="AB75" s="6" t="e">
        <f t="shared" si="14"/>
        <v>#VALUE!</v>
      </c>
      <c r="AC75" s="16" t="e">
        <f t="shared" si="15"/>
        <v>#VALUE!</v>
      </c>
      <c r="AD75" s="16" t="e">
        <f t="shared" si="10"/>
        <v>#VALUE!</v>
      </c>
      <c r="AE75" s="7" t="e">
        <f t="shared" si="11"/>
        <v>#VALUE!</v>
      </c>
    </row>
    <row r="76" spans="11:31" x14ac:dyDescent="0.35">
      <c r="K76">
        <v>76</v>
      </c>
      <c r="X76" s="6" t="e">
        <f t="shared" si="12"/>
        <v>#VALUE!</v>
      </c>
      <c r="Y76" s="7" t="e">
        <f t="shared" si="13"/>
        <v>#VALUE!</v>
      </c>
      <c r="Z76" s="6" t="e">
        <f t="shared" si="8"/>
        <v>#VALUE!</v>
      </c>
      <c r="AA76" s="7" t="e">
        <f t="shared" si="9"/>
        <v>#VALUE!</v>
      </c>
      <c r="AB76" s="6" t="e">
        <f t="shared" si="14"/>
        <v>#VALUE!</v>
      </c>
      <c r="AC76" s="16" t="e">
        <f t="shared" si="15"/>
        <v>#VALUE!</v>
      </c>
      <c r="AD76" s="16" t="e">
        <f t="shared" si="10"/>
        <v>#VALUE!</v>
      </c>
      <c r="AE76" s="7" t="e">
        <f t="shared" si="11"/>
        <v>#VALUE!</v>
      </c>
    </row>
    <row r="77" spans="11:31" x14ac:dyDescent="0.35">
      <c r="K77">
        <v>77</v>
      </c>
      <c r="X77" s="6" t="e">
        <f t="shared" si="12"/>
        <v>#VALUE!</v>
      </c>
      <c r="Y77" s="7" t="e">
        <f t="shared" si="13"/>
        <v>#VALUE!</v>
      </c>
      <c r="Z77" s="6" t="e">
        <f t="shared" si="8"/>
        <v>#VALUE!</v>
      </c>
      <c r="AA77" s="7" t="e">
        <f t="shared" si="9"/>
        <v>#VALUE!</v>
      </c>
      <c r="AB77" s="6" t="e">
        <f t="shared" si="14"/>
        <v>#VALUE!</v>
      </c>
      <c r="AC77" s="16" t="e">
        <f t="shared" si="15"/>
        <v>#VALUE!</v>
      </c>
      <c r="AD77" s="16" t="e">
        <f t="shared" si="10"/>
        <v>#VALUE!</v>
      </c>
      <c r="AE77" s="7" t="e">
        <f t="shared" si="11"/>
        <v>#VALUE!</v>
      </c>
    </row>
    <row r="78" spans="11:31" x14ac:dyDescent="0.35">
      <c r="K78">
        <v>78</v>
      </c>
      <c r="X78" s="6" t="e">
        <f t="shared" si="12"/>
        <v>#VALUE!</v>
      </c>
      <c r="Y78" s="7" t="e">
        <f t="shared" si="13"/>
        <v>#VALUE!</v>
      </c>
      <c r="Z78" s="6" t="e">
        <f t="shared" si="8"/>
        <v>#VALUE!</v>
      </c>
      <c r="AA78" s="7" t="e">
        <f t="shared" si="9"/>
        <v>#VALUE!</v>
      </c>
      <c r="AB78" s="6" t="e">
        <f t="shared" si="14"/>
        <v>#VALUE!</v>
      </c>
      <c r="AC78" s="16" t="e">
        <f t="shared" si="15"/>
        <v>#VALUE!</v>
      </c>
      <c r="AD78" s="16" t="e">
        <f t="shared" si="10"/>
        <v>#VALUE!</v>
      </c>
      <c r="AE78" s="7" t="e">
        <f t="shared" si="11"/>
        <v>#VALUE!</v>
      </c>
    </row>
    <row r="79" spans="11:31" x14ac:dyDescent="0.35">
      <c r="K79">
        <v>79</v>
      </c>
      <c r="X79" s="6" t="e">
        <f t="shared" si="12"/>
        <v>#VALUE!</v>
      </c>
      <c r="Y79" s="7" t="e">
        <f t="shared" si="13"/>
        <v>#VALUE!</v>
      </c>
      <c r="Z79" s="6" t="e">
        <f t="shared" si="8"/>
        <v>#VALUE!</v>
      </c>
      <c r="AA79" s="7" t="e">
        <f t="shared" si="9"/>
        <v>#VALUE!</v>
      </c>
      <c r="AB79" s="6" t="e">
        <f t="shared" si="14"/>
        <v>#VALUE!</v>
      </c>
      <c r="AC79" s="16" t="e">
        <f t="shared" si="15"/>
        <v>#VALUE!</v>
      </c>
      <c r="AD79" s="16" t="e">
        <f t="shared" si="10"/>
        <v>#VALUE!</v>
      </c>
      <c r="AE79" s="7" t="e">
        <f t="shared" si="11"/>
        <v>#VALUE!</v>
      </c>
    </row>
    <row r="80" spans="11:31" x14ac:dyDescent="0.35">
      <c r="K80">
        <v>80</v>
      </c>
      <c r="X80" s="6" t="e">
        <f t="shared" si="12"/>
        <v>#VALUE!</v>
      </c>
      <c r="Y80" s="7" t="e">
        <f t="shared" si="13"/>
        <v>#VALUE!</v>
      </c>
      <c r="Z80" s="6" t="e">
        <f t="shared" si="8"/>
        <v>#VALUE!</v>
      </c>
      <c r="AA80" s="7" t="e">
        <f t="shared" si="9"/>
        <v>#VALUE!</v>
      </c>
      <c r="AB80" s="6" t="e">
        <f t="shared" si="14"/>
        <v>#VALUE!</v>
      </c>
      <c r="AC80" s="16" t="e">
        <f t="shared" si="15"/>
        <v>#VALUE!</v>
      </c>
      <c r="AD80" s="16" t="e">
        <f t="shared" si="10"/>
        <v>#VALUE!</v>
      </c>
      <c r="AE80" s="7" t="e">
        <f t="shared" si="11"/>
        <v>#VALUE!</v>
      </c>
    </row>
    <row r="81" spans="11:31" x14ac:dyDescent="0.35">
      <c r="K81">
        <v>81</v>
      </c>
      <c r="X81" s="6" t="e">
        <f t="shared" si="12"/>
        <v>#VALUE!</v>
      </c>
      <c r="Y81" s="7" t="e">
        <f t="shared" si="13"/>
        <v>#VALUE!</v>
      </c>
      <c r="Z81" s="6" t="e">
        <f t="shared" si="8"/>
        <v>#VALUE!</v>
      </c>
      <c r="AA81" s="7" t="e">
        <f t="shared" si="9"/>
        <v>#VALUE!</v>
      </c>
      <c r="AB81" s="6" t="e">
        <f t="shared" si="14"/>
        <v>#VALUE!</v>
      </c>
      <c r="AC81" s="16" t="e">
        <f t="shared" si="15"/>
        <v>#VALUE!</v>
      </c>
      <c r="AD81" s="16" t="e">
        <f t="shared" si="10"/>
        <v>#VALUE!</v>
      </c>
      <c r="AE81" s="7" t="e">
        <f t="shared" si="11"/>
        <v>#VALUE!</v>
      </c>
    </row>
    <row r="82" spans="11:31" x14ac:dyDescent="0.35">
      <c r="K82">
        <v>82</v>
      </c>
      <c r="X82" s="6" t="e">
        <f t="shared" si="12"/>
        <v>#VALUE!</v>
      </c>
      <c r="Y82" s="7" t="e">
        <f t="shared" si="13"/>
        <v>#VALUE!</v>
      </c>
      <c r="Z82" s="6" t="e">
        <f t="shared" si="8"/>
        <v>#VALUE!</v>
      </c>
      <c r="AA82" s="7" t="e">
        <f t="shared" si="9"/>
        <v>#VALUE!</v>
      </c>
      <c r="AB82" s="6" t="e">
        <f t="shared" si="14"/>
        <v>#VALUE!</v>
      </c>
      <c r="AC82" s="16" t="e">
        <f t="shared" si="15"/>
        <v>#VALUE!</v>
      </c>
      <c r="AD82" s="16" t="e">
        <f t="shared" si="10"/>
        <v>#VALUE!</v>
      </c>
      <c r="AE82" s="7" t="e">
        <f t="shared" si="11"/>
        <v>#VALUE!</v>
      </c>
    </row>
    <row r="83" spans="11:31" x14ac:dyDescent="0.35">
      <c r="K83">
        <v>83</v>
      </c>
      <c r="X83" s="6" t="e">
        <f t="shared" si="12"/>
        <v>#VALUE!</v>
      </c>
      <c r="Y83" s="7" t="e">
        <f t="shared" si="13"/>
        <v>#VALUE!</v>
      </c>
      <c r="Z83" s="6" t="e">
        <f t="shared" si="8"/>
        <v>#VALUE!</v>
      </c>
      <c r="AA83" s="7" t="e">
        <f t="shared" si="9"/>
        <v>#VALUE!</v>
      </c>
      <c r="AB83" s="6" t="e">
        <f t="shared" si="14"/>
        <v>#VALUE!</v>
      </c>
      <c r="AC83" s="16" t="e">
        <f t="shared" si="15"/>
        <v>#VALUE!</v>
      </c>
      <c r="AD83" s="16" t="e">
        <f t="shared" si="10"/>
        <v>#VALUE!</v>
      </c>
      <c r="AE83" s="7" t="e">
        <f t="shared" si="11"/>
        <v>#VALUE!</v>
      </c>
    </row>
    <row r="84" spans="11:31" x14ac:dyDescent="0.35">
      <c r="K84">
        <v>84</v>
      </c>
      <c r="X84" s="6" t="e">
        <f t="shared" si="12"/>
        <v>#VALUE!</v>
      </c>
      <c r="Y84" s="7" t="e">
        <f t="shared" si="13"/>
        <v>#VALUE!</v>
      </c>
      <c r="Z84" s="6" t="e">
        <f t="shared" si="8"/>
        <v>#VALUE!</v>
      </c>
      <c r="AA84" s="7" t="e">
        <f t="shared" si="9"/>
        <v>#VALUE!</v>
      </c>
      <c r="AB84" s="6" t="e">
        <f t="shared" si="14"/>
        <v>#VALUE!</v>
      </c>
      <c r="AC84" s="16" t="e">
        <f t="shared" si="15"/>
        <v>#VALUE!</v>
      </c>
      <c r="AD84" s="16" t="e">
        <f t="shared" si="10"/>
        <v>#VALUE!</v>
      </c>
      <c r="AE84" s="7" t="e">
        <f t="shared" si="11"/>
        <v>#VALUE!</v>
      </c>
    </row>
    <row r="85" spans="11:31" x14ac:dyDescent="0.35">
      <c r="K85">
        <v>85</v>
      </c>
      <c r="X85" s="6" t="e">
        <f t="shared" si="12"/>
        <v>#VALUE!</v>
      </c>
      <c r="Y85" s="7" t="e">
        <f t="shared" si="13"/>
        <v>#VALUE!</v>
      </c>
      <c r="Z85" s="6" t="e">
        <f t="shared" si="8"/>
        <v>#VALUE!</v>
      </c>
      <c r="AA85" s="7" t="e">
        <f t="shared" si="9"/>
        <v>#VALUE!</v>
      </c>
      <c r="AB85" s="6" t="e">
        <f t="shared" si="14"/>
        <v>#VALUE!</v>
      </c>
      <c r="AC85" s="16" t="e">
        <f t="shared" si="15"/>
        <v>#VALUE!</v>
      </c>
      <c r="AD85" s="16" t="e">
        <f t="shared" si="10"/>
        <v>#VALUE!</v>
      </c>
      <c r="AE85" s="7" t="e">
        <f t="shared" si="11"/>
        <v>#VALUE!</v>
      </c>
    </row>
    <row r="86" spans="11:31" x14ac:dyDescent="0.35">
      <c r="K86">
        <v>86</v>
      </c>
      <c r="X86" s="6" t="e">
        <f t="shared" si="12"/>
        <v>#VALUE!</v>
      </c>
      <c r="Y86" s="7" t="e">
        <f t="shared" si="13"/>
        <v>#VALUE!</v>
      </c>
      <c r="Z86" s="6" t="e">
        <f t="shared" si="8"/>
        <v>#VALUE!</v>
      </c>
      <c r="AA86" s="7" t="e">
        <f t="shared" si="9"/>
        <v>#VALUE!</v>
      </c>
      <c r="AB86" s="6" t="e">
        <f t="shared" si="14"/>
        <v>#VALUE!</v>
      </c>
      <c r="AC86" s="16" t="e">
        <f t="shared" si="15"/>
        <v>#VALUE!</v>
      </c>
      <c r="AD86" s="16" t="e">
        <f t="shared" si="10"/>
        <v>#VALUE!</v>
      </c>
      <c r="AE86" s="7" t="e">
        <f t="shared" si="11"/>
        <v>#VALUE!</v>
      </c>
    </row>
    <row r="87" spans="11:31" x14ac:dyDescent="0.35">
      <c r="K87">
        <v>87</v>
      </c>
      <c r="X87" s="6" t="e">
        <f t="shared" si="12"/>
        <v>#VALUE!</v>
      </c>
      <c r="Y87" s="7" t="e">
        <f t="shared" si="13"/>
        <v>#VALUE!</v>
      </c>
      <c r="Z87" s="6" t="e">
        <f t="shared" si="8"/>
        <v>#VALUE!</v>
      </c>
      <c r="AA87" s="7" t="e">
        <f t="shared" si="9"/>
        <v>#VALUE!</v>
      </c>
      <c r="AB87" s="6" t="e">
        <f t="shared" si="14"/>
        <v>#VALUE!</v>
      </c>
      <c r="AC87" s="16" t="e">
        <f t="shared" si="15"/>
        <v>#VALUE!</v>
      </c>
      <c r="AD87" s="16" t="e">
        <f t="shared" si="10"/>
        <v>#VALUE!</v>
      </c>
      <c r="AE87" s="7" t="e">
        <f t="shared" si="11"/>
        <v>#VALUE!</v>
      </c>
    </row>
    <row r="88" spans="11:31" x14ac:dyDescent="0.35">
      <c r="K88">
        <v>88</v>
      </c>
      <c r="X88" s="6" t="e">
        <f t="shared" si="12"/>
        <v>#VALUE!</v>
      </c>
      <c r="Y88" s="7" t="e">
        <f t="shared" si="13"/>
        <v>#VALUE!</v>
      </c>
      <c r="Z88" s="6" t="e">
        <f t="shared" si="8"/>
        <v>#VALUE!</v>
      </c>
      <c r="AA88" s="7" t="e">
        <f t="shared" si="9"/>
        <v>#VALUE!</v>
      </c>
      <c r="AB88" s="6" t="e">
        <f t="shared" si="14"/>
        <v>#VALUE!</v>
      </c>
      <c r="AC88" s="16" t="e">
        <f t="shared" si="15"/>
        <v>#VALUE!</v>
      </c>
      <c r="AD88" s="16" t="e">
        <f t="shared" si="10"/>
        <v>#VALUE!</v>
      </c>
      <c r="AE88" s="7" t="e">
        <f t="shared" si="11"/>
        <v>#VALUE!</v>
      </c>
    </row>
    <row r="89" spans="11:31" x14ac:dyDescent="0.35">
      <c r="K89">
        <v>89</v>
      </c>
      <c r="X89" s="6" t="e">
        <f t="shared" si="12"/>
        <v>#VALUE!</v>
      </c>
      <c r="Y89" s="7" t="e">
        <f t="shared" si="13"/>
        <v>#VALUE!</v>
      </c>
      <c r="Z89" s="6" t="e">
        <f t="shared" si="8"/>
        <v>#VALUE!</v>
      </c>
      <c r="AA89" s="7" t="e">
        <f t="shared" si="9"/>
        <v>#VALUE!</v>
      </c>
      <c r="AB89" s="6" t="e">
        <f t="shared" si="14"/>
        <v>#VALUE!</v>
      </c>
      <c r="AC89" s="16" t="e">
        <f t="shared" si="15"/>
        <v>#VALUE!</v>
      </c>
      <c r="AD89" s="16" t="e">
        <f t="shared" si="10"/>
        <v>#VALUE!</v>
      </c>
      <c r="AE89" s="7" t="e">
        <f t="shared" si="11"/>
        <v>#VALUE!</v>
      </c>
    </row>
    <row r="90" spans="11:31" x14ac:dyDescent="0.35">
      <c r="K90">
        <v>90</v>
      </c>
      <c r="X90" s="6" t="e">
        <f t="shared" si="12"/>
        <v>#VALUE!</v>
      </c>
      <c r="Y90" s="7" t="e">
        <f t="shared" si="13"/>
        <v>#VALUE!</v>
      </c>
      <c r="Z90" s="6" t="e">
        <f t="shared" si="8"/>
        <v>#VALUE!</v>
      </c>
      <c r="AA90" s="7" t="e">
        <f t="shared" si="9"/>
        <v>#VALUE!</v>
      </c>
      <c r="AB90" s="6" t="e">
        <f t="shared" si="14"/>
        <v>#VALUE!</v>
      </c>
      <c r="AC90" s="16" t="e">
        <f t="shared" si="15"/>
        <v>#VALUE!</v>
      </c>
      <c r="AD90" s="16" t="e">
        <f t="shared" si="10"/>
        <v>#VALUE!</v>
      </c>
      <c r="AE90" s="7" t="e">
        <f t="shared" si="11"/>
        <v>#VALUE!</v>
      </c>
    </row>
    <row r="91" spans="11:31" x14ac:dyDescent="0.35">
      <c r="K91">
        <v>91</v>
      </c>
      <c r="X91" s="6" t="e">
        <f t="shared" si="12"/>
        <v>#VALUE!</v>
      </c>
      <c r="Y91" s="7" t="e">
        <f t="shared" si="13"/>
        <v>#VALUE!</v>
      </c>
      <c r="Z91" s="6" t="e">
        <f t="shared" si="8"/>
        <v>#VALUE!</v>
      </c>
      <c r="AA91" s="7" t="e">
        <f t="shared" si="9"/>
        <v>#VALUE!</v>
      </c>
      <c r="AB91" s="6" t="e">
        <f t="shared" si="14"/>
        <v>#VALUE!</v>
      </c>
      <c r="AC91" s="16" t="e">
        <f t="shared" si="15"/>
        <v>#VALUE!</v>
      </c>
      <c r="AD91" s="16" t="e">
        <f t="shared" si="10"/>
        <v>#VALUE!</v>
      </c>
      <c r="AE91" s="7" t="e">
        <f t="shared" si="11"/>
        <v>#VALUE!</v>
      </c>
    </row>
    <row r="92" spans="11:31" x14ac:dyDescent="0.35">
      <c r="K92">
        <v>92</v>
      </c>
      <c r="X92" s="6" t="e">
        <f t="shared" si="12"/>
        <v>#VALUE!</v>
      </c>
      <c r="Y92" s="7" t="e">
        <f t="shared" si="13"/>
        <v>#VALUE!</v>
      </c>
      <c r="Z92" s="6" t="e">
        <f t="shared" si="8"/>
        <v>#VALUE!</v>
      </c>
      <c r="AA92" s="7" t="e">
        <f t="shared" si="9"/>
        <v>#VALUE!</v>
      </c>
      <c r="AB92" s="6" t="e">
        <f t="shared" si="14"/>
        <v>#VALUE!</v>
      </c>
      <c r="AC92" s="16" t="e">
        <f t="shared" si="15"/>
        <v>#VALUE!</v>
      </c>
      <c r="AD92" s="16" t="e">
        <f t="shared" si="10"/>
        <v>#VALUE!</v>
      </c>
      <c r="AE92" s="7" t="e">
        <f t="shared" si="11"/>
        <v>#VALUE!</v>
      </c>
    </row>
    <row r="93" spans="11:31" x14ac:dyDescent="0.35">
      <c r="K93">
        <v>93</v>
      </c>
      <c r="X93" s="6" t="e">
        <f t="shared" si="12"/>
        <v>#VALUE!</v>
      </c>
      <c r="Y93" s="7" t="e">
        <f t="shared" si="13"/>
        <v>#VALUE!</v>
      </c>
      <c r="Z93" s="6" t="e">
        <f t="shared" si="8"/>
        <v>#VALUE!</v>
      </c>
      <c r="AA93" s="7" t="e">
        <f t="shared" si="9"/>
        <v>#VALUE!</v>
      </c>
      <c r="AB93" s="6" t="e">
        <f t="shared" si="14"/>
        <v>#VALUE!</v>
      </c>
      <c r="AC93" s="16" t="e">
        <f t="shared" si="15"/>
        <v>#VALUE!</v>
      </c>
      <c r="AD93" s="16" t="e">
        <f t="shared" si="10"/>
        <v>#VALUE!</v>
      </c>
      <c r="AE93" s="7" t="e">
        <f t="shared" si="11"/>
        <v>#VALUE!</v>
      </c>
    </row>
    <row r="94" spans="11:31" x14ac:dyDescent="0.35">
      <c r="K94">
        <v>94</v>
      </c>
      <c r="X94" s="6" t="e">
        <f t="shared" si="12"/>
        <v>#VALUE!</v>
      </c>
      <c r="Y94" s="7" t="e">
        <f t="shared" si="13"/>
        <v>#VALUE!</v>
      </c>
      <c r="Z94" s="6" t="e">
        <f t="shared" si="8"/>
        <v>#VALUE!</v>
      </c>
      <c r="AA94" s="7" t="e">
        <f t="shared" si="9"/>
        <v>#VALUE!</v>
      </c>
      <c r="AB94" s="6" t="e">
        <f t="shared" si="14"/>
        <v>#VALUE!</v>
      </c>
      <c r="AC94" s="16" t="e">
        <f t="shared" si="15"/>
        <v>#VALUE!</v>
      </c>
      <c r="AD94" s="16" t="e">
        <f t="shared" si="10"/>
        <v>#VALUE!</v>
      </c>
      <c r="AE94" s="7" t="e">
        <f t="shared" si="11"/>
        <v>#VALUE!</v>
      </c>
    </row>
    <row r="95" spans="11:31" x14ac:dyDescent="0.35">
      <c r="K95">
        <v>95</v>
      </c>
      <c r="X95" s="6" t="e">
        <f t="shared" si="12"/>
        <v>#VALUE!</v>
      </c>
      <c r="Y95" s="7" t="e">
        <f t="shared" si="13"/>
        <v>#VALUE!</v>
      </c>
      <c r="Z95" s="6" t="e">
        <f t="shared" si="8"/>
        <v>#VALUE!</v>
      </c>
      <c r="AA95" s="7" t="e">
        <f t="shared" si="9"/>
        <v>#VALUE!</v>
      </c>
      <c r="AB95" s="6" t="e">
        <f t="shared" si="14"/>
        <v>#VALUE!</v>
      </c>
      <c r="AC95" s="16" t="e">
        <f t="shared" si="15"/>
        <v>#VALUE!</v>
      </c>
      <c r="AD95" s="16" t="e">
        <f t="shared" si="10"/>
        <v>#VALUE!</v>
      </c>
      <c r="AE95" s="7" t="e">
        <f t="shared" si="11"/>
        <v>#VALUE!</v>
      </c>
    </row>
    <row r="96" spans="11:31" x14ac:dyDescent="0.35">
      <c r="K96">
        <v>96</v>
      </c>
      <c r="X96" s="6" t="e">
        <f t="shared" si="12"/>
        <v>#VALUE!</v>
      </c>
      <c r="Y96" s="7" t="e">
        <f t="shared" si="13"/>
        <v>#VALUE!</v>
      </c>
      <c r="Z96" s="6" t="e">
        <f t="shared" si="8"/>
        <v>#VALUE!</v>
      </c>
      <c r="AA96" s="7" t="e">
        <f t="shared" si="9"/>
        <v>#VALUE!</v>
      </c>
      <c r="AB96" s="6" t="e">
        <f t="shared" si="14"/>
        <v>#VALUE!</v>
      </c>
      <c r="AC96" s="16" t="e">
        <f t="shared" si="15"/>
        <v>#VALUE!</v>
      </c>
      <c r="AD96" s="16" t="e">
        <f t="shared" si="10"/>
        <v>#VALUE!</v>
      </c>
      <c r="AE96" s="7" t="e">
        <f t="shared" si="11"/>
        <v>#VALUE!</v>
      </c>
    </row>
    <row r="97" spans="11:31" x14ac:dyDescent="0.35">
      <c r="K97">
        <v>97</v>
      </c>
      <c r="X97" s="6" t="e">
        <f t="shared" si="12"/>
        <v>#VALUE!</v>
      </c>
      <c r="Y97" s="7" t="e">
        <f t="shared" si="13"/>
        <v>#VALUE!</v>
      </c>
      <c r="Z97" s="6" t="e">
        <f t="shared" si="8"/>
        <v>#VALUE!</v>
      </c>
      <c r="AA97" s="7" t="e">
        <f t="shared" si="9"/>
        <v>#VALUE!</v>
      </c>
      <c r="AB97" s="6" t="e">
        <f t="shared" si="14"/>
        <v>#VALUE!</v>
      </c>
      <c r="AC97" s="16" t="e">
        <f t="shared" si="15"/>
        <v>#VALUE!</v>
      </c>
      <c r="AD97" s="16" t="e">
        <f t="shared" si="10"/>
        <v>#VALUE!</v>
      </c>
      <c r="AE97" s="7" t="e">
        <f t="shared" si="11"/>
        <v>#VALUE!</v>
      </c>
    </row>
    <row r="98" spans="11:31" x14ac:dyDescent="0.35">
      <c r="K98">
        <v>98</v>
      </c>
      <c r="X98" s="6" t="e">
        <f t="shared" si="12"/>
        <v>#VALUE!</v>
      </c>
      <c r="Y98" s="7" t="e">
        <f t="shared" si="13"/>
        <v>#VALUE!</v>
      </c>
      <c r="Z98" s="6" t="e">
        <f t="shared" si="8"/>
        <v>#VALUE!</v>
      </c>
      <c r="AA98" s="7" t="e">
        <f t="shared" si="9"/>
        <v>#VALUE!</v>
      </c>
      <c r="AB98" s="6" t="e">
        <f t="shared" si="14"/>
        <v>#VALUE!</v>
      </c>
      <c r="AC98" s="16" t="e">
        <f t="shared" si="15"/>
        <v>#VALUE!</v>
      </c>
      <c r="AD98" s="16" t="e">
        <f t="shared" si="10"/>
        <v>#VALUE!</v>
      </c>
      <c r="AE98" s="7" t="e">
        <f t="shared" si="11"/>
        <v>#VALUE!</v>
      </c>
    </row>
    <row r="99" spans="11:31" x14ac:dyDescent="0.35">
      <c r="K99">
        <v>99</v>
      </c>
      <c r="X99" s="6" t="e">
        <f t="shared" si="12"/>
        <v>#VALUE!</v>
      </c>
      <c r="Y99" s="7" t="e">
        <f t="shared" si="13"/>
        <v>#VALUE!</v>
      </c>
      <c r="Z99" s="6" t="e">
        <f t="shared" si="8"/>
        <v>#VALUE!</v>
      </c>
      <c r="AA99" s="7" t="e">
        <f t="shared" si="9"/>
        <v>#VALUE!</v>
      </c>
      <c r="AB99" s="6" t="e">
        <f t="shared" si="14"/>
        <v>#VALUE!</v>
      </c>
      <c r="AC99" s="16" t="e">
        <f t="shared" si="15"/>
        <v>#VALUE!</v>
      </c>
      <c r="AD99" s="16" t="e">
        <f t="shared" si="10"/>
        <v>#VALUE!</v>
      </c>
      <c r="AE99" s="7" t="e">
        <f t="shared" si="11"/>
        <v>#VALUE!</v>
      </c>
    </row>
    <row r="100" spans="11:31" x14ac:dyDescent="0.35">
      <c r="K100">
        <v>100</v>
      </c>
      <c r="X100" s="6" t="e">
        <f t="shared" si="12"/>
        <v>#VALUE!</v>
      </c>
      <c r="Y100" s="7" t="e">
        <f t="shared" si="13"/>
        <v>#VALUE!</v>
      </c>
      <c r="Z100" s="6" t="e">
        <f t="shared" si="8"/>
        <v>#VALUE!</v>
      </c>
      <c r="AA100" s="7" t="e">
        <f t="shared" si="9"/>
        <v>#VALUE!</v>
      </c>
      <c r="AB100" s="6" t="e">
        <f t="shared" si="14"/>
        <v>#VALUE!</v>
      </c>
      <c r="AC100" s="16" t="e">
        <f t="shared" si="15"/>
        <v>#VALUE!</v>
      </c>
      <c r="AD100" s="16" t="e">
        <f t="shared" si="10"/>
        <v>#VALUE!</v>
      </c>
      <c r="AE100" s="7" t="e">
        <f t="shared" si="11"/>
        <v>#VALUE!</v>
      </c>
    </row>
    <row r="101" spans="11:31" x14ac:dyDescent="0.35">
      <c r="K101">
        <v>101</v>
      </c>
      <c r="X101" s="6" t="e">
        <f t="shared" si="12"/>
        <v>#VALUE!</v>
      </c>
      <c r="Y101" s="7" t="e">
        <f t="shared" si="13"/>
        <v>#VALUE!</v>
      </c>
      <c r="Z101" s="6" t="e">
        <f t="shared" si="8"/>
        <v>#VALUE!</v>
      </c>
      <c r="AA101" s="7" t="e">
        <f t="shared" si="9"/>
        <v>#VALUE!</v>
      </c>
      <c r="AB101" s="6" t="e">
        <f t="shared" si="14"/>
        <v>#VALUE!</v>
      </c>
      <c r="AC101" s="16" t="e">
        <f t="shared" si="15"/>
        <v>#VALUE!</v>
      </c>
      <c r="AD101" s="16" t="e">
        <f t="shared" si="10"/>
        <v>#VALUE!</v>
      </c>
      <c r="AE101" s="7" t="e">
        <f t="shared" si="11"/>
        <v>#VALUE!</v>
      </c>
    </row>
    <row r="102" spans="11:31" x14ac:dyDescent="0.35">
      <c r="K102">
        <v>102</v>
      </c>
      <c r="X102" s="6" t="e">
        <f t="shared" si="12"/>
        <v>#VALUE!</v>
      </c>
      <c r="Y102" s="7" t="e">
        <f t="shared" si="13"/>
        <v>#VALUE!</v>
      </c>
      <c r="Z102" s="6" t="e">
        <f t="shared" si="8"/>
        <v>#VALUE!</v>
      </c>
      <c r="AA102" s="7" t="e">
        <f t="shared" si="9"/>
        <v>#VALUE!</v>
      </c>
      <c r="AB102" s="6" t="e">
        <f t="shared" si="14"/>
        <v>#VALUE!</v>
      </c>
      <c r="AC102" s="16" t="e">
        <f t="shared" si="15"/>
        <v>#VALUE!</v>
      </c>
      <c r="AD102" s="16" t="e">
        <f t="shared" si="10"/>
        <v>#VALUE!</v>
      </c>
      <c r="AE102" s="7" t="e">
        <f t="shared" si="11"/>
        <v>#VALUE!</v>
      </c>
    </row>
    <row r="103" spans="11:31" x14ac:dyDescent="0.35">
      <c r="K103">
        <v>103</v>
      </c>
      <c r="X103" s="6" t="e">
        <f t="shared" si="12"/>
        <v>#VALUE!</v>
      </c>
      <c r="Y103" s="7" t="e">
        <f t="shared" si="13"/>
        <v>#VALUE!</v>
      </c>
      <c r="Z103" s="6" t="e">
        <f t="shared" si="8"/>
        <v>#VALUE!</v>
      </c>
      <c r="AA103" s="7" t="e">
        <f t="shared" si="9"/>
        <v>#VALUE!</v>
      </c>
      <c r="AB103" s="6" t="e">
        <f t="shared" si="14"/>
        <v>#VALUE!</v>
      </c>
      <c r="AC103" s="16" t="e">
        <f t="shared" si="15"/>
        <v>#VALUE!</v>
      </c>
      <c r="AD103" s="16" t="e">
        <f t="shared" si="10"/>
        <v>#VALUE!</v>
      </c>
      <c r="AE103" s="7" t="e">
        <f t="shared" si="11"/>
        <v>#VALUE!</v>
      </c>
    </row>
    <row r="104" spans="11:31" x14ac:dyDescent="0.35">
      <c r="K104">
        <v>104</v>
      </c>
      <c r="X104" s="6" t="e">
        <f t="shared" si="12"/>
        <v>#VALUE!</v>
      </c>
      <c r="Y104" s="7" t="e">
        <f t="shared" si="13"/>
        <v>#VALUE!</v>
      </c>
      <c r="Z104" s="6" t="e">
        <f t="shared" si="8"/>
        <v>#VALUE!</v>
      </c>
      <c r="AA104" s="7" t="e">
        <f t="shared" si="9"/>
        <v>#VALUE!</v>
      </c>
      <c r="AB104" s="6" t="e">
        <f t="shared" si="14"/>
        <v>#VALUE!</v>
      </c>
      <c r="AC104" s="16" t="e">
        <f t="shared" si="15"/>
        <v>#VALUE!</v>
      </c>
      <c r="AD104" s="16" t="e">
        <f t="shared" si="10"/>
        <v>#VALUE!</v>
      </c>
      <c r="AE104" s="7" t="e">
        <f t="shared" si="11"/>
        <v>#VALUE!</v>
      </c>
    </row>
    <row r="105" spans="11:31" x14ac:dyDescent="0.35">
      <c r="K105">
        <v>105</v>
      </c>
      <c r="X105" s="6" t="e">
        <f t="shared" si="12"/>
        <v>#VALUE!</v>
      </c>
      <c r="Y105" s="7" t="e">
        <f t="shared" si="13"/>
        <v>#VALUE!</v>
      </c>
      <c r="Z105" s="6" t="e">
        <f t="shared" si="8"/>
        <v>#VALUE!</v>
      </c>
      <c r="AA105" s="7" t="e">
        <f t="shared" si="9"/>
        <v>#VALUE!</v>
      </c>
      <c r="AB105" s="6" t="e">
        <f t="shared" si="14"/>
        <v>#VALUE!</v>
      </c>
      <c r="AC105" s="16" t="e">
        <f t="shared" si="15"/>
        <v>#VALUE!</v>
      </c>
      <c r="AD105" s="16" t="e">
        <f t="shared" si="10"/>
        <v>#VALUE!</v>
      </c>
      <c r="AE105" s="7" t="e">
        <f t="shared" si="11"/>
        <v>#VALUE!</v>
      </c>
    </row>
    <row r="106" spans="11:31" x14ac:dyDescent="0.35">
      <c r="K106">
        <v>106</v>
      </c>
      <c r="X106" s="6" t="e">
        <f t="shared" si="12"/>
        <v>#VALUE!</v>
      </c>
      <c r="Y106" s="7" t="e">
        <f t="shared" si="13"/>
        <v>#VALUE!</v>
      </c>
      <c r="Z106" s="6" t="e">
        <f t="shared" si="8"/>
        <v>#VALUE!</v>
      </c>
      <c r="AA106" s="7" t="e">
        <f t="shared" si="9"/>
        <v>#VALUE!</v>
      </c>
      <c r="AB106" s="6" t="e">
        <f t="shared" si="14"/>
        <v>#VALUE!</v>
      </c>
      <c r="AC106" s="16" t="e">
        <f t="shared" si="15"/>
        <v>#VALUE!</v>
      </c>
      <c r="AD106" s="16" t="e">
        <f t="shared" si="10"/>
        <v>#VALUE!</v>
      </c>
      <c r="AE106" s="7" t="e">
        <f t="shared" si="11"/>
        <v>#VALUE!</v>
      </c>
    </row>
    <row r="107" spans="11:31" x14ac:dyDescent="0.35">
      <c r="K107">
        <v>107</v>
      </c>
      <c r="X107" s="6" t="e">
        <f t="shared" si="12"/>
        <v>#VALUE!</v>
      </c>
      <c r="Y107" s="7" t="e">
        <f t="shared" si="13"/>
        <v>#VALUE!</v>
      </c>
      <c r="Z107" s="6" t="e">
        <f t="shared" si="8"/>
        <v>#VALUE!</v>
      </c>
      <c r="AA107" s="7" t="e">
        <f t="shared" si="9"/>
        <v>#VALUE!</v>
      </c>
      <c r="AB107" s="6" t="e">
        <f t="shared" si="14"/>
        <v>#VALUE!</v>
      </c>
      <c r="AC107" s="16" t="e">
        <f t="shared" si="15"/>
        <v>#VALUE!</v>
      </c>
      <c r="AD107" s="16" t="e">
        <f t="shared" si="10"/>
        <v>#VALUE!</v>
      </c>
      <c r="AE107" s="7" t="e">
        <f t="shared" si="11"/>
        <v>#VALUE!</v>
      </c>
    </row>
    <row r="108" spans="11:31" x14ac:dyDescent="0.35">
      <c r="K108">
        <v>108</v>
      </c>
      <c r="X108" s="6" t="e">
        <f t="shared" si="12"/>
        <v>#VALUE!</v>
      </c>
      <c r="Y108" s="7" t="e">
        <f t="shared" si="13"/>
        <v>#VALUE!</v>
      </c>
      <c r="Z108" s="6" t="e">
        <f t="shared" si="8"/>
        <v>#VALUE!</v>
      </c>
      <c r="AA108" s="7" t="e">
        <f t="shared" si="9"/>
        <v>#VALUE!</v>
      </c>
      <c r="AB108" s="6" t="e">
        <f t="shared" si="14"/>
        <v>#VALUE!</v>
      </c>
      <c r="AC108" s="16" t="e">
        <f t="shared" si="15"/>
        <v>#VALUE!</v>
      </c>
      <c r="AD108" s="16" t="e">
        <f t="shared" si="10"/>
        <v>#VALUE!</v>
      </c>
      <c r="AE108" s="7" t="e">
        <f t="shared" si="11"/>
        <v>#VALUE!</v>
      </c>
    </row>
    <row r="109" spans="11:31" x14ac:dyDescent="0.35">
      <c r="K109">
        <v>109</v>
      </c>
      <c r="X109" s="6" t="e">
        <f t="shared" si="12"/>
        <v>#VALUE!</v>
      </c>
      <c r="Y109" s="7" t="e">
        <f t="shared" si="13"/>
        <v>#VALUE!</v>
      </c>
      <c r="Z109" s="6" t="e">
        <f t="shared" si="8"/>
        <v>#VALUE!</v>
      </c>
      <c r="AA109" s="7" t="e">
        <f t="shared" si="9"/>
        <v>#VALUE!</v>
      </c>
      <c r="AB109" s="6" t="e">
        <f t="shared" si="14"/>
        <v>#VALUE!</v>
      </c>
      <c r="AC109" s="16" t="e">
        <f t="shared" si="15"/>
        <v>#VALUE!</v>
      </c>
      <c r="AD109" s="16" t="e">
        <f t="shared" si="10"/>
        <v>#VALUE!</v>
      </c>
      <c r="AE109" s="7" t="e">
        <f t="shared" si="11"/>
        <v>#VALUE!</v>
      </c>
    </row>
    <row r="110" spans="11:31" x14ac:dyDescent="0.35">
      <c r="K110">
        <v>110</v>
      </c>
      <c r="X110" s="6" t="e">
        <f t="shared" si="12"/>
        <v>#VALUE!</v>
      </c>
      <c r="Y110" s="7" t="e">
        <f t="shared" si="13"/>
        <v>#VALUE!</v>
      </c>
      <c r="Z110" s="6" t="e">
        <f t="shared" si="8"/>
        <v>#VALUE!</v>
      </c>
      <c r="AA110" s="7" t="e">
        <f t="shared" si="9"/>
        <v>#VALUE!</v>
      </c>
      <c r="AB110" s="6" t="e">
        <f t="shared" si="14"/>
        <v>#VALUE!</v>
      </c>
      <c r="AC110" s="16" t="e">
        <f t="shared" si="15"/>
        <v>#VALUE!</v>
      </c>
      <c r="AD110" s="16" t="e">
        <f t="shared" si="10"/>
        <v>#VALUE!</v>
      </c>
      <c r="AE110" s="7" t="e">
        <f t="shared" si="11"/>
        <v>#VALUE!</v>
      </c>
    </row>
    <row r="111" spans="11:31" x14ac:dyDescent="0.35">
      <c r="K111">
        <v>111</v>
      </c>
      <c r="X111" s="6" t="e">
        <f t="shared" si="12"/>
        <v>#VALUE!</v>
      </c>
      <c r="Y111" s="7" t="e">
        <f t="shared" si="13"/>
        <v>#VALUE!</v>
      </c>
      <c r="Z111" s="6" t="e">
        <f t="shared" si="8"/>
        <v>#VALUE!</v>
      </c>
      <c r="AA111" s="7" t="e">
        <f t="shared" si="9"/>
        <v>#VALUE!</v>
      </c>
      <c r="AB111" s="6" t="e">
        <f t="shared" si="14"/>
        <v>#VALUE!</v>
      </c>
      <c r="AC111" s="16" t="e">
        <f t="shared" si="15"/>
        <v>#VALUE!</v>
      </c>
      <c r="AD111" s="16" t="e">
        <f t="shared" si="10"/>
        <v>#VALUE!</v>
      </c>
      <c r="AE111" s="7" t="e">
        <f t="shared" si="11"/>
        <v>#VALUE!</v>
      </c>
    </row>
    <row r="112" spans="11:31" x14ac:dyDescent="0.35">
      <c r="K112">
        <v>112</v>
      </c>
      <c r="X112" s="6" t="e">
        <f t="shared" si="12"/>
        <v>#VALUE!</v>
      </c>
      <c r="Y112" s="7" t="e">
        <f t="shared" si="13"/>
        <v>#VALUE!</v>
      </c>
      <c r="Z112" s="6" t="e">
        <f t="shared" si="8"/>
        <v>#VALUE!</v>
      </c>
      <c r="AA112" s="7" t="e">
        <f t="shared" si="9"/>
        <v>#VALUE!</v>
      </c>
      <c r="AB112" s="6" t="e">
        <f t="shared" si="14"/>
        <v>#VALUE!</v>
      </c>
      <c r="AC112" s="16" t="e">
        <f t="shared" si="15"/>
        <v>#VALUE!</v>
      </c>
      <c r="AD112" s="16" t="e">
        <f t="shared" si="10"/>
        <v>#VALUE!</v>
      </c>
      <c r="AE112" s="7" t="e">
        <f t="shared" si="11"/>
        <v>#VALUE!</v>
      </c>
    </row>
    <row r="113" spans="11:31" x14ac:dyDescent="0.35">
      <c r="K113">
        <v>113</v>
      </c>
      <c r="X113" s="6" t="e">
        <f t="shared" si="12"/>
        <v>#VALUE!</v>
      </c>
      <c r="Y113" s="7" t="e">
        <f t="shared" si="13"/>
        <v>#VALUE!</v>
      </c>
      <c r="Z113" s="6" t="e">
        <f t="shared" si="8"/>
        <v>#VALUE!</v>
      </c>
      <c r="AA113" s="7" t="e">
        <f t="shared" si="9"/>
        <v>#VALUE!</v>
      </c>
      <c r="AB113" s="6" t="e">
        <f t="shared" si="14"/>
        <v>#VALUE!</v>
      </c>
      <c r="AC113" s="16" t="e">
        <f t="shared" si="15"/>
        <v>#VALUE!</v>
      </c>
      <c r="AD113" s="16" t="e">
        <f t="shared" si="10"/>
        <v>#VALUE!</v>
      </c>
      <c r="AE113" s="7" t="e">
        <f t="shared" si="11"/>
        <v>#VALUE!</v>
      </c>
    </row>
    <row r="114" spans="11:31" x14ac:dyDescent="0.35">
      <c r="K114">
        <v>114</v>
      </c>
      <c r="X114" s="6" t="e">
        <f t="shared" si="12"/>
        <v>#VALUE!</v>
      </c>
      <c r="Y114" s="7" t="e">
        <f t="shared" si="13"/>
        <v>#VALUE!</v>
      </c>
      <c r="Z114" s="6" t="e">
        <f t="shared" si="8"/>
        <v>#VALUE!</v>
      </c>
      <c r="AA114" s="7" t="e">
        <f t="shared" si="9"/>
        <v>#VALUE!</v>
      </c>
      <c r="AB114" s="6" t="e">
        <f t="shared" si="14"/>
        <v>#VALUE!</v>
      </c>
      <c r="AC114" s="16" t="e">
        <f t="shared" si="15"/>
        <v>#VALUE!</v>
      </c>
      <c r="AD114" s="16" t="e">
        <f t="shared" si="10"/>
        <v>#VALUE!</v>
      </c>
      <c r="AE114" s="7" t="e">
        <f t="shared" si="11"/>
        <v>#VALUE!</v>
      </c>
    </row>
    <row r="115" spans="11:31" x14ac:dyDescent="0.35">
      <c r="K115">
        <v>115</v>
      </c>
      <c r="X115" s="6" t="e">
        <f t="shared" si="12"/>
        <v>#VALUE!</v>
      </c>
      <c r="Y115" s="7" t="e">
        <f t="shared" si="13"/>
        <v>#VALUE!</v>
      </c>
      <c r="Z115" s="6" t="e">
        <f t="shared" si="8"/>
        <v>#VALUE!</v>
      </c>
      <c r="AA115" s="7" t="e">
        <f t="shared" si="9"/>
        <v>#VALUE!</v>
      </c>
      <c r="AB115" s="6" t="e">
        <f t="shared" si="14"/>
        <v>#VALUE!</v>
      </c>
      <c r="AC115" s="16" t="e">
        <f t="shared" si="15"/>
        <v>#VALUE!</v>
      </c>
      <c r="AD115" s="16" t="e">
        <f t="shared" si="10"/>
        <v>#VALUE!</v>
      </c>
      <c r="AE115" s="7" t="e">
        <f t="shared" si="11"/>
        <v>#VALUE!</v>
      </c>
    </row>
    <row r="116" spans="11:31" x14ac:dyDescent="0.35">
      <c r="K116">
        <v>116</v>
      </c>
      <c r="X116" s="6" t="e">
        <f t="shared" si="12"/>
        <v>#VALUE!</v>
      </c>
      <c r="Y116" s="7" t="e">
        <f t="shared" si="13"/>
        <v>#VALUE!</v>
      </c>
      <c r="Z116" s="6" t="e">
        <f t="shared" si="8"/>
        <v>#VALUE!</v>
      </c>
      <c r="AA116" s="7" t="e">
        <f t="shared" si="9"/>
        <v>#VALUE!</v>
      </c>
      <c r="AB116" s="6" t="e">
        <f t="shared" si="14"/>
        <v>#VALUE!</v>
      </c>
      <c r="AC116" s="16" t="e">
        <f t="shared" si="15"/>
        <v>#VALUE!</v>
      </c>
      <c r="AD116" s="16" t="e">
        <f t="shared" si="10"/>
        <v>#VALUE!</v>
      </c>
      <c r="AE116" s="7" t="e">
        <f t="shared" si="11"/>
        <v>#VALUE!</v>
      </c>
    </row>
    <row r="117" spans="11:31" x14ac:dyDescent="0.35">
      <c r="K117">
        <v>117</v>
      </c>
      <c r="X117" s="6" t="e">
        <f t="shared" si="12"/>
        <v>#VALUE!</v>
      </c>
      <c r="Y117" s="7" t="e">
        <f t="shared" si="13"/>
        <v>#VALUE!</v>
      </c>
      <c r="Z117" s="6" t="e">
        <f t="shared" si="8"/>
        <v>#VALUE!</v>
      </c>
      <c r="AA117" s="7" t="e">
        <f t="shared" si="9"/>
        <v>#VALUE!</v>
      </c>
      <c r="AB117" s="6" t="e">
        <f t="shared" si="14"/>
        <v>#VALUE!</v>
      </c>
      <c r="AC117" s="16" t="e">
        <f t="shared" si="15"/>
        <v>#VALUE!</v>
      </c>
      <c r="AD117" s="16" t="e">
        <f t="shared" si="10"/>
        <v>#VALUE!</v>
      </c>
      <c r="AE117" s="7" t="e">
        <f t="shared" si="11"/>
        <v>#VALUE!</v>
      </c>
    </row>
    <row r="118" spans="11:31" x14ac:dyDescent="0.35">
      <c r="K118">
        <v>118</v>
      </c>
      <c r="X118" s="6" t="e">
        <f t="shared" si="12"/>
        <v>#VALUE!</v>
      </c>
      <c r="Y118" s="7" t="e">
        <f t="shared" si="13"/>
        <v>#VALUE!</v>
      </c>
      <c r="Z118" s="6" t="e">
        <f t="shared" si="8"/>
        <v>#VALUE!</v>
      </c>
      <c r="AA118" s="7" t="e">
        <f t="shared" si="9"/>
        <v>#VALUE!</v>
      </c>
      <c r="AB118" s="6" t="e">
        <f t="shared" si="14"/>
        <v>#VALUE!</v>
      </c>
      <c r="AC118" s="16" t="e">
        <f t="shared" si="15"/>
        <v>#VALUE!</v>
      </c>
      <c r="AD118" s="16" t="e">
        <f t="shared" si="10"/>
        <v>#VALUE!</v>
      </c>
      <c r="AE118" s="7" t="e">
        <f t="shared" si="11"/>
        <v>#VALUE!</v>
      </c>
    </row>
    <row r="119" spans="11:31" x14ac:dyDescent="0.35">
      <c r="K119">
        <v>119</v>
      </c>
      <c r="X119" s="6" t="e">
        <f t="shared" si="12"/>
        <v>#VALUE!</v>
      </c>
      <c r="Y119" s="7" t="e">
        <f t="shared" si="13"/>
        <v>#VALUE!</v>
      </c>
      <c r="Z119" s="6" t="e">
        <f t="shared" si="8"/>
        <v>#VALUE!</v>
      </c>
      <c r="AA119" s="7" t="e">
        <f t="shared" si="9"/>
        <v>#VALUE!</v>
      </c>
      <c r="AB119" s="6" t="e">
        <f t="shared" si="14"/>
        <v>#VALUE!</v>
      </c>
      <c r="AC119" s="16" t="e">
        <f t="shared" si="15"/>
        <v>#VALUE!</v>
      </c>
      <c r="AD119" s="16" t="e">
        <f t="shared" si="10"/>
        <v>#VALUE!</v>
      </c>
      <c r="AE119" s="7" t="e">
        <f t="shared" si="11"/>
        <v>#VALUE!</v>
      </c>
    </row>
    <row r="120" spans="11:31" x14ac:dyDescent="0.35">
      <c r="K120">
        <v>120</v>
      </c>
      <c r="X120" s="6" t="e">
        <f t="shared" si="12"/>
        <v>#VALUE!</v>
      </c>
      <c r="Y120" s="7" t="e">
        <f t="shared" si="13"/>
        <v>#VALUE!</v>
      </c>
      <c r="Z120" s="6" t="e">
        <f t="shared" si="8"/>
        <v>#VALUE!</v>
      </c>
      <c r="AA120" s="7" t="e">
        <f t="shared" si="9"/>
        <v>#VALUE!</v>
      </c>
      <c r="AB120" s="6" t="e">
        <f t="shared" si="14"/>
        <v>#VALUE!</v>
      </c>
      <c r="AC120" s="16" t="e">
        <f t="shared" si="15"/>
        <v>#VALUE!</v>
      </c>
      <c r="AD120" s="16" t="e">
        <f t="shared" si="10"/>
        <v>#VALUE!</v>
      </c>
      <c r="AE120" s="7" t="e">
        <f t="shared" si="11"/>
        <v>#VALUE!</v>
      </c>
    </row>
    <row r="121" spans="11:31" x14ac:dyDescent="0.35">
      <c r="K121">
        <v>121</v>
      </c>
      <c r="X121" s="6" t="e">
        <f t="shared" si="12"/>
        <v>#VALUE!</v>
      </c>
      <c r="Y121" s="7" t="e">
        <f t="shared" si="13"/>
        <v>#VALUE!</v>
      </c>
      <c r="Z121" s="6" t="e">
        <f t="shared" si="8"/>
        <v>#VALUE!</v>
      </c>
      <c r="AA121" s="7" t="e">
        <f t="shared" si="9"/>
        <v>#VALUE!</v>
      </c>
      <c r="AB121" s="6" t="e">
        <f t="shared" si="14"/>
        <v>#VALUE!</v>
      </c>
      <c r="AC121" s="16" t="e">
        <f t="shared" si="15"/>
        <v>#VALUE!</v>
      </c>
      <c r="AD121" s="16" t="e">
        <f t="shared" si="10"/>
        <v>#VALUE!</v>
      </c>
      <c r="AE121" s="7" t="e">
        <f t="shared" si="11"/>
        <v>#VALUE!</v>
      </c>
    </row>
    <row r="122" spans="11:31" x14ac:dyDescent="0.35">
      <c r="K122">
        <v>122</v>
      </c>
      <c r="X122" s="6" t="e">
        <f t="shared" si="12"/>
        <v>#VALUE!</v>
      </c>
      <c r="Y122" s="7" t="e">
        <f t="shared" si="13"/>
        <v>#VALUE!</v>
      </c>
      <c r="Z122" s="6" t="e">
        <f t="shared" si="8"/>
        <v>#VALUE!</v>
      </c>
      <c r="AA122" s="7" t="e">
        <f t="shared" si="9"/>
        <v>#VALUE!</v>
      </c>
      <c r="AB122" s="6" t="e">
        <f t="shared" si="14"/>
        <v>#VALUE!</v>
      </c>
      <c r="AC122" s="16" t="e">
        <f t="shared" si="15"/>
        <v>#VALUE!</v>
      </c>
      <c r="AD122" s="16" t="e">
        <f t="shared" si="10"/>
        <v>#VALUE!</v>
      </c>
      <c r="AE122" s="7" t="e">
        <f t="shared" si="11"/>
        <v>#VALUE!</v>
      </c>
    </row>
    <row r="123" spans="11:31" x14ac:dyDescent="0.35">
      <c r="K123">
        <v>123</v>
      </c>
      <c r="X123" s="6" t="e">
        <f t="shared" si="12"/>
        <v>#VALUE!</v>
      </c>
      <c r="Y123" s="7" t="e">
        <f t="shared" si="13"/>
        <v>#VALUE!</v>
      </c>
      <c r="Z123" s="6" t="e">
        <f t="shared" si="8"/>
        <v>#VALUE!</v>
      </c>
      <c r="AA123" s="7" t="e">
        <f t="shared" si="9"/>
        <v>#VALUE!</v>
      </c>
      <c r="AB123" s="6" t="e">
        <f t="shared" si="14"/>
        <v>#VALUE!</v>
      </c>
      <c r="AC123" s="16" t="e">
        <f t="shared" si="15"/>
        <v>#VALUE!</v>
      </c>
      <c r="AD123" s="16" t="e">
        <f t="shared" si="10"/>
        <v>#VALUE!</v>
      </c>
      <c r="AE123" s="7" t="e">
        <f t="shared" si="11"/>
        <v>#VALUE!</v>
      </c>
    </row>
    <row r="124" spans="11:31" x14ac:dyDescent="0.35">
      <c r="K124">
        <v>124</v>
      </c>
      <c r="X124" s="6" t="e">
        <f t="shared" si="12"/>
        <v>#VALUE!</v>
      </c>
      <c r="Y124" s="7" t="e">
        <f t="shared" si="13"/>
        <v>#VALUE!</v>
      </c>
      <c r="Z124" s="6" t="e">
        <f t="shared" si="8"/>
        <v>#VALUE!</v>
      </c>
      <c r="AA124" s="7" t="e">
        <f t="shared" si="9"/>
        <v>#VALUE!</v>
      </c>
      <c r="AB124" s="6" t="e">
        <f t="shared" si="14"/>
        <v>#VALUE!</v>
      </c>
      <c r="AC124" s="16" t="e">
        <f t="shared" si="15"/>
        <v>#VALUE!</v>
      </c>
      <c r="AD124" s="16" t="e">
        <f t="shared" si="10"/>
        <v>#VALUE!</v>
      </c>
      <c r="AE124" s="7" t="e">
        <f t="shared" si="11"/>
        <v>#VALUE!</v>
      </c>
    </row>
    <row r="125" spans="11:31" x14ac:dyDescent="0.35">
      <c r="K125">
        <v>125</v>
      </c>
      <c r="X125" s="6" t="e">
        <f t="shared" si="12"/>
        <v>#VALUE!</v>
      </c>
      <c r="Y125" s="7" t="e">
        <f t="shared" si="13"/>
        <v>#VALUE!</v>
      </c>
      <c r="Z125" s="6" t="e">
        <f t="shared" si="8"/>
        <v>#VALUE!</v>
      </c>
      <c r="AA125" s="7" t="e">
        <f t="shared" si="9"/>
        <v>#VALUE!</v>
      </c>
      <c r="AB125" s="6" t="e">
        <f t="shared" si="14"/>
        <v>#VALUE!</v>
      </c>
      <c r="AC125" s="16" t="e">
        <f t="shared" si="15"/>
        <v>#VALUE!</v>
      </c>
      <c r="AD125" s="16" t="e">
        <f t="shared" si="10"/>
        <v>#VALUE!</v>
      </c>
      <c r="AE125" s="7" t="e">
        <f t="shared" si="11"/>
        <v>#VALUE!</v>
      </c>
    </row>
    <row r="126" spans="11:31" x14ac:dyDescent="0.35">
      <c r="K126">
        <v>126</v>
      </c>
      <c r="X126" s="6" t="e">
        <f t="shared" si="12"/>
        <v>#VALUE!</v>
      </c>
      <c r="Y126" s="7" t="e">
        <f t="shared" si="13"/>
        <v>#VALUE!</v>
      </c>
      <c r="Z126" s="6" t="e">
        <f t="shared" si="8"/>
        <v>#VALUE!</v>
      </c>
      <c r="AA126" s="7" t="e">
        <f t="shared" si="9"/>
        <v>#VALUE!</v>
      </c>
      <c r="AB126" s="6" t="e">
        <f t="shared" si="14"/>
        <v>#VALUE!</v>
      </c>
      <c r="AC126" s="16" t="e">
        <f t="shared" si="15"/>
        <v>#VALUE!</v>
      </c>
      <c r="AD126" s="16" t="e">
        <f t="shared" si="10"/>
        <v>#VALUE!</v>
      </c>
      <c r="AE126" s="7" t="e">
        <f t="shared" si="11"/>
        <v>#VALUE!</v>
      </c>
    </row>
    <row r="127" spans="11:31" x14ac:dyDescent="0.35">
      <c r="K127">
        <v>127</v>
      </c>
      <c r="X127" s="6" t="e">
        <f t="shared" si="12"/>
        <v>#VALUE!</v>
      </c>
      <c r="Y127" s="7" t="e">
        <f t="shared" si="13"/>
        <v>#VALUE!</v>
      </c>
      <c r="Z127" s="6" t="e">
        <f t="shared" si="8"/>
        <v>#VALUE!</v>
      </c>
      <c r="AA127" s="7" t="e">
        <f t="shared" si="9"/>
        <v>#VALUE!</v>
      </c>
      <c r="AB127" s="6" t="e">
        <f t="shared" si="14"/>
        <v>#VALUE!</v>
      </c>
      <c r="AC127" s="16" t="e">
        <f t="shared" si="15"/>
        <v>#VALUE!</v>
      </c>
      <c r="AD127" s="16" t="e">
        <f t="shared" si="10"/>
        <v>#VALUE!</v>
      </c>
      <c r="AE127" s="7" t="e">
        <f t="shared" si="11"/>
        <v>#VALUE!</v>
      </c>
    </row>
    <row r="128" spans="11:31" x14ac:dyDescent="0.35">
      <c r="K128">
        <v>128</v>
      </c>
      <c r="X128" s="6" t="e">
        <f t="shared" si="12"/>
        <v>#VALUE!</v>
      </c>
      <c r="Y128" s="7" t="e">
        <f t="shared" si="13"/>
        <v>#VALUE!</v>
      </c>
      <c r="Z128" s="6" t="e">
        <f t="shared" si="8"/>
        <v>#VALUE!</v>
      </c>
      <c r="AA128" s="7" t="e">
        <f t="shared" si="9"/>
        <v>#VALUE!</v>
      </c>
      <c r="AB128" s="6" t="e">
        <f t="shared" si="14"/>
        <v>#VALUE!</v>
      </c>
      <c r="AC128" s="16" t="e">
        <f t="shared" si="15"/>
        <v>#VALUE!</v>
      </c>
      <c r="AD128" s="16" t="e">
        <f t="shared" si="10"/>
        <v>#VALUE!</v>
      </c>
      <c r="AE128" s="7" t="e">
        <f t="shared" si="11"/>
        <v>#VALUE!</v>
      </c>
    </row>
    <row r="129" spans="11:31" x14ac:dyDescent="0.35">
      <c r="K129">
        <v>129</v>
      </c>
      <c r="X129" s="6" t="e">
        <f t="shared" si="12"/>
        <v>#VALUE!</v>
      </c>
      <c r="Y129" s="7" t="e">
        <f t="shared" si="13"/>
        <v>#VALUE!</v>
      </c>
      <c r="Z129" s="6" t="e">
        <f t="shared" ref="Z129:Z192" si="16">MOD(X129^3+a*X129+b,prime)</f>
        <v>#VALUE!</v>
      </c>
      <c r="AA129" s="7" t="e">
        <f t="shared" ref="AA129:AA192" si="17">MOD(Y129*Y129,prime)</f>
        <v>#VALUE!</v>
      </c>
      <c r="AB129" s="6" t="e">
        <f t="shared" si="14"/>
        <v>#VALUE!</v>
      </c>
      <c r="AC129" s="16" t="e">
        <f t="shared" si="15"/>
        <v>#VALUE!</v>
      </c>
      <c r="AD129" s="16" t="e">
        <f t="shared" ref="AD129:AD192" si="18">modInv(AC129,prime)</f>
        <v>#VALUE!</v>
      </c>
      <c r="AE129" s="7" t="e">
        <f t="shared" ref="AE129:AE192" si="19">MOD(AB129*AD129,prime)</f>
        <v>#VALUE!</v>
      </c>
    </row>
    <row r="130" spans="11:31" x14ac:dyDescent="0.35">
      <c r="K130">
        <v>130</v>
      </c>
      <c r="X130" s="6" t="e">
        <f t="shared" ref="X130:X193" si="20">MOD(AE129*AE129-X129-$X$1,prime)</f>
        <v>#VALUE!</v>
      </c>
      <c r="Y130" s="7" t="e">
        <f t="shared" ref="Y130:Y193" si="21">MOD(AE129*($X$1-X130)-$Y$1,prime)</f>
        <v>#VALUE!</v>
      </c>
      <c r="Z130" s="6" t="e">
        <f t="shared" si="16"/>
        <v>#VALUE!</v>
      </c>
      <c r="AA130" s="7" t="e">
        <f t="shared" si="17"/>
        <v>#VALUE!</v>
      </c>
      <c r="AB130" s="6" t="e">
        <f t="shared" ref="AB130:AB193" si="22">($Y$1-Y130)</f>
        <v>#VALUE!</v>
      </c>
      <c r="AC130" s="16" t="e">
        <f t="shared" ref="AC130:AC193" si="23">($X$1-X130)</f>
        <v>#VALUE!</v>
      </c>
      <c r="AD130" s="16" t="e">
        <f t="shared" si="18"/>
        <v>#VALUE!</v>
      </c>
      <c r="AE130" s="7" t="e">
        <f t="shared" si="19"/>
        <v>#VALUE!</v>
      </c>
    </row>
    <row r="131" spans="11:31" x14ac:dyDescent="0.35">
      <c r="K131">
        <v>131</v>
      </c>
      <c r="X131" s="6" t="e">
        <f t="shared" si="20"/>
        <v>#VALUE!</v>
      </c>
      <c r="Y131" s="7" t="e">
        <f t="shared" si="21"/>
        <v>#VALUE!</v>
      </c>
      <c r="Z131" s="6" t="e">
        <f t="shared" si="16"/>
        <v>#VALUE!</v>
      </c>
      <c r="AA131" s="7" t="e">
        <f t="shared" si="17"/>
        <v>#VALUE!</v>
      </c>
      <c r="AB131" s="6" t="e">
        <f t="shared" si="22"/>
        <v>#VALUE!</v>
      </c>
      <c r="AC131" s="16" t="e">
        <f t="shared" si="23"/>
        <v>#VALUE!</v>
      </c>
      <c r="AD131" s="16" t="e">
        <f t="shared" si="18"/>
        <v>#VALUE!</v>
      </c>
      <c r="AE131" s="7" t="e">
        <f t="shared" si="19"/>
        <v>#VALUE!</v>
      </c>
    </row>
    <row r="132" spans="11:31" x14ac:dyDescent="0.35">
      <c r="K132">
        <v>132</v>
      </c>
      <c r="X132" s="6" t="e">
        <f t="shared" si="20"/>
        <v>#VALUE!</v>
      </c>
      <c r="Y132" s="7" t="e">
        <f t="shared" si="21"/>
        <v>#VALUE!</v>
      </c>
      <c r="Z132" s="6" t="e">
        <f t="shared" si="16"/>
        <v>#VALUE!</v>
      </c>
      <c r="AA132" s="7" t="e">
        <f t="shared" si="17"/>
        <v>#VALUE!</v>
      </c>
      <c r="AB132" s="6" t="e">
        <f t="shared" si="22"/>
        <v>#VALUE!</v>
      </c>
      <c r="AC132" s="16" t="e">
        <f t="shared" si="23"/>
        <v>#VALUE!</v>
      </c>
      <c r="AD132" s="16" t="e">
        <f t="shared" si="18"/>
        <v>#VALUE!</v>
      </c>
      <c r="AE132" s="7" t="e">
        <f t="shared" si="19"/>
        <v>#VALUE!</v>
      </c>
    </row>
    <row r="133" spans="11:31" x14ac:dyDescent="0.35">
      <c r="K133">
        <v>133</v>
      </c>
      <c r="X133" s="6" t="e">
        <f t="shared" si="20"/>
        <v>#VALUE!</v>
      </c>
      <c r="Y133" s="7" t="e">
        <f t="shared" si="21"/>
        <v>#VALUE!</v>
      </c>
      <c r="Z133" s="6" t="e">
        <f t="shared" si="16"/>
        <v>#VALUE!</v>
      </c>
      <c r="AA133" s="7" t="e">
        <f t="shared" si="17"/>
        <v>#VALUE!</v>
      </c>
      <c r="AB133" s="6" t="e">
        <f t="shared" si="22"/>
        <v>#VALUE!</v>
      </c>
      <c r="AC133" s="16" t="e">
        <f t="shared" si="23"/>
        <v>#VALUE!</v>
      </c>
      <c r="AD133" s="16" t="e">
        <f t="shared" si="18"/>
        <v>#VALUE!</v>
      </c>
      <c r="AE133" s="7" t="e">
        <f t="shared" si="19"/>
        <v>#VALUE!</v>
      </c>
    </row>
    <row r="134" spans="11:31" x14ac:dyDescent="0.35">
      <c r="K134">
        <v>134</v>
      </c>
      <c r="X134" s="6" t="e">
        <f t="shared" si="20"/>
        <v>#VALUE!</v>
      </c>
      <c r="Y134" s="7" t="e">
        <f t="shared" si="21"/>
        <v>#VALUE!</v>
      </c>
      <c r="Z134" s="6" t="e">
        <f t="shared" si="16"/>
        <v>#VALUE!</v>
      </c>
      <c r="AA134" s="7" t="e">
        <f t="shared" si="17"/>
        <v>#VALUE!</v>
      </c>
      <c r="AB134" s="6" t="e">
        <f t="shared" si="22"/>
        <v>#VALUE!</v>
      </c>
      <c r="AC134" s="16" t="e">
        <f t="shared" si="23"/>
        <v>#VALUE!</v>
      </c>
      <c r="AD134" s="16" t="e">
        <f t="shared" si="18"/>
        <v>#VALUE!</v>
      </c>
      <c r="AE134" s="7" t="e">
        <f t="shared" si="19"/>
        <v>#VALUE!</v>
      </c>
    </row>
    <row r="135" spans="11:31" x14ac:dyDescent="0.35">
      <c r="K135">
        <v>135</v>
      </c>
      <c r="X135" s="8" t="e">
        <f t="shared" si="20"/>
        <v>#VALUE!</v>
      </c>
      <c r="Y135" s="9" t="e">
        <f t="shared" si="21"/>
        <v>#VALUE!</v>
      </c>
      <c r="Z135" s="6" t="e">
        <f t="shared" si="16"/>
        <v>#VALUE!</v>
      </c>
      <c r="AA135" s="7" t="e">
        <f t="shared" si="17"/>
        <v>#VALUE!</v>
      </c>
      <c r="AB135" s="6" t="e">
        <f t="shared" si="22"/>
        <v>#VALUE!</v>
      </c>
      <c r="AC135" s="16" t="e">
        <f t="shared" si="23"/>
        <v>#VALUE!</v>
      </c>
      <c r="AD135" s="16" t="e">
        <f t="shared" si="18"/>
        <v>#VALUE!</v>
      </c>
      <c r="AE135" s="7" t="e">
        <f t="shared" si="19"/>
        <v>#VALUE!</v>
      </c>
    </row>
    <row r="136" spans="11:31" x14ac:dyDescent="0.35">
      <c r="K136">
        <v>136</v>
      </c>
      <c r="X136" s="6" t="e">
        <f t="shared" si="20"/>
        <v>#VALUE!</v>
      </c>
      <c r="Y136" s="7" t="e">
        <f t="shared" si="21"/>
        <v>#VALUE!</v>
      </c>
      <c r="Z136" s="6" t="e">
        <f t="shared" si="16"/>
        <v>#VALUE!</v>
      </c>
      <c r="AA136" s="7" t="e">
        <f t="shared" si="17"/>
        <v>#VALUE!</v>
      </c>
      <c r="AB136" s="6" t="e">
        <f t="shared" si="22"/>
        <v>#VALUE!</v>
      </c>
      <c r="AC136" s="16" t="e">
        <f t="shared" si="23"/>
        <v>#VALUE!</v>
      </c>
      <c r="AD136" s="16" t="e">
        <f t="shared" si="18"/>
        <v>#VALUE!</v>
      </c>
      <c r="AE136" s="7" t="e">
        <f t="shared" si="19"/>
        <v>#VALUE!</v>
      </c>
    </row>
    <row r="137" spans="11:31" x14ac:dyDescent="0.35">
      <c r="K137">
        <v>137</v>
      </c>
      <c r="X137" s="6" t="e">
        <f t="shared" si="20"/>
        <v>#VALUE!</v>
      </c>
      <c r="Y137" s="7" t="e">
        <f t="shared" si="21"/>
        <v>#VALUE!</v>
      </c>
      <c r="Z137" s="6" t="e">
        <f t="shared" si="16"/>
        <v>#VALUE!</v>
      </c>
      <c r="AA137" s="7" t="e">
        <f t="shared" si="17"/>
        <v>#VALUE!</v>
      </c>
      <c r="AB137" s="6" t="e">
        <f t="shared" si="22"/>
        <v>#VALUE!</v>
      </c>
      <c r="AC137" s="16" t="e">
        <f t="shared" si="23"/>
        <v>#VALUE!</v>
      </c>
      <c r="AD137" s="16" t="e">
        <f t="shared" si="18"/>
        <v>#VALUE!</v>
      </c>
      <c r="AE137" s="7" t="e">
        <f t="shared" si="19"/>
        <v>#VALUE!</v>
      </c>
    </row>
    <row r="138" spans="11:31" x14ac:dyDescent="0.35">
      <c r="K138">
        <v>138</v>
      </c>
      <c r="X138" s="6" t="e">
        <f t="shared" si="20"/>
        <v>#VALUE!</v>
      </c>
      <c r="Y138" s="7" t="e">
        <f t="shared" si="21"/>
        <v>#VALUE!</v>
      </c>
      <c r="Z138" s="6" t="e">
        <f t="shared" si="16"/>
        <v>#VALUE!</v>
      </c>
      <c r="AA138" s="7" t="e">
        <f t="shared" si="17"/>
        <v>#VALUE!</v>
      </c>
      <c r="AB138" s="6" t="e">
        <f t="shared" si="22"/>
        <v>#VALUE!</v>
      </c>
      <c r="AC138" s="16" t="e">
        <f t="shared" si="23"/>
        <v>#VALUE!</v>
      </c>
      <c r="AD138" s="16" t="e">
        <f t="shared" si="18"/>
        <v>#VALUE!</v>
      </c>
      <c r="AE138" s="7" t="e">
        <f t="shared" si="19"/>
        <v>#VALUE!</v>
      </c>
    </row>
    <row r="139" spans="11:31" x14ac:dyDescent="0.35">
      <c r="K139">
        <v>139</v>
      </c>
      <c r="X139" s="6" t="e">
        <f t="shared" si="20"/>
        <v>#VALUE!</v>
      </c>
      <c r="Y139" s="7" t="e">
        <f t="shared" si="21"/>
        <v>#VALUE!</v>
      </c>
      <c r="Z139" s="6" t="e">
        <f t="shared" si="16"/>
        <v>#VALUE!</v>
      </c>
      <c r="AA139" s="7" t="e">
        <f t="shared" si="17"/>
        <v>#VALUE!</v>
      </c>
      <c r="AB139" s="6" t="e">
        <f t="shared" si="22"/>
        <v>#VALUE!</v>
      </c>
      <c r="AC139" s="16" t="e">
        <f t="shared" si="23"/>
        <v>#VALUE!</v>
      </c>
      <c r="AD139" s="16" t="e">
        <f t="shared" si="18"/>
        <v>#VALUE!</v>
      </c>
      <c r="AE139" s="7" t="e">
        <f t="shared" si="19"/>
        <v>#VALUE!</v>
      </c>
    </row>
    <row r="140" spans="11:31" x14ac:dyDescent="0.35">
      <c r="K140">
        <v>140</v>
      </c>
      <c r="X140" s="6" t="e">
        <f t="shared" si="20"/>
        <v>#VALUE!</v>
      </c>
      <c r="Y140" s="7" t="e">
        <f t="shared" si="21"/>
        <v>#VALUE!</v>
      </c>
      <c r="Z140" s="6" t="e">
        <f t="shared" si="16"/>
        <v>#VALUE!</v>
      </c>
      <c r="AA140" s="7" t="e">
        <f t="shared" si="17"/>
        <v>#VALUE!</v>
      </c>
      <c r="AB140" s="6" t="e">
        <f t="shared" si="22"/>
        <v>#VALUE!</v>
      </c>
      <c r="AC140" s="16" t="e">
        <f t="shared" si="23"/>
        <v>#VALUE!</v>
      </c>
      <c r="AD140" s="16" t="e">
        <f t="shared" si="18"/>
        <v>#VALUE!</v>
      </c>
      <c r="AE140" s="7" t="e">
        <f t="shared" si="19"/>
        <v>#VALUE!</v>
      </c>
    </row>
    <row r="141" spans="11:31" x14ac:dyDescent="0.35">
      <c r="K141">
        <v>141</v>
      </c>
      <c r="X141" s="6" t="e">
        <f t="shared" si="20"/>
        <v>#VALUE!</v>
      </c>
      <c r="Y141" s="7" t="e">
        <f t="shared" si="21"/>
        <v>#VALUE!</v>
      </c>
      <c r="Z141" s="6" t="e">
        <f t="shared" si="16"/>
        <v>#VALUE!</v>
      </c>
      <c r="AA141" s="7" t="e">
        <f t="shared" si="17"/>
        <v>#VALUE!</v>
      </c>
      <c r="AB141" s="6" t="e">
        <f t="shared" si="22"/>
        <v>#VALUE!</v>
      </c>
      <c r="AC141" s="16" t="e">
        <f t="shared" si="23"/>
        <v>#VALUE!</v>
      </c>
      <c r="AD141" s="16" t="e">
        <f t="shared" si="18"/>
        <v>#VALUE!</v>
      </c>
      <c r="AE141" s="7" t="e">
        <f t="shared" si="19"/>
        <v>#VALUE!</v>
      </c>
    </row>
    <row r="142" spans="11:31" x14ac:dyDescent="0.35">
      <c r="K142">
        <v>142</v>
      </c>
      <c r="X142" s="6" t="e">
        <f t="shared" si="20"/>
        <v>#VALUE!</v>
      </c>
      <c r="Y142" s="7" t="e">
        <f t="shared" si="21"/>
        <v>#VALUE!</v>
      </c>
      <c r="Z142" s="6" t="e">
        <f t="shared" si="16"/>
        <v>#VALUE!</v>
      </c>
      <c r="AA142" s="7" t="e">
        <f t="shared" si="17"/>
        <v>#VALUE!</v>
      </c>
      <c r="AB142" s="6" t="e">
        <f t="shared" si="22"/>
        <v>#VALUE!</v>
      </c>
      <c r="AC142" s="16" t="e">
        <f t="shared" si="23"/>
        <v>#VALUE!</v>
      </c>
      <c r="AD142" s="16" t="e">
        <f t="shared" si="18"/>
        <v>#VALUE!</v>
      </c>
      <c r="AE142" s="7" t="e">
        <f t="shared" si="19"/>
        <v>#VALUE!</v>
      </c>
    </row>
    <row r="143" spans="11:31" x14ac:dyDescent="0.35">
      <c r="K143">
        <v>143</v>
      </c>
      <c r="X143" s="6" t="e">
        <f t="shared" si="20"/>
        <v>#VALUE!</v>
      </c>
      <c r="Y143" s="7" t="e">
        <f t="shared" si="21"/>
        <v>#VALUE!</v>
      </c>
      <c r="Z143" s="6" t="e">
        <f t="shared" si="16"/>
        <v>#VALUE!</v>
      </c>
      <c r="AA143" s="7" t="e">
        <f t="shared" si="17"/>
        <v>#VALUE!</v>
      </c>
      <c r="AB143" s="6" t="e">
        <f t="shared" si="22"/>
        <v>#VALUE!</v>
      </c>
      <c r="AC143" s="16" t="e">
        <f t="shared" si="23"/>
        <v>#VALUE!</v>
      </c>
      <c r="AD143" s="16" t="e">
        <f t="shared" si="18"/>
        <v>#VALUE!</v>
      </c>
      <c r="AE143" s="7" t="e">
        <f t="shared" si="19"/>
        <v>#VALUE!</v>
      </c>
    </row>
    <row r="144" spans="11:31" x14ac:dyDescent="0.35">
      <c r="K144">
        <v>144</v>
      </c>
      <c r="X144" s="6" t="e">
        <f t="shared" si="20"/>
        <v>#VALUE!</v>
      </c>
      <c r="Y144" s="7" t="e">
        <f t="shared" si="21"/>
        <v>#VALUE!</v>
      </c>
      <c r="Z144" s="6" t="e">
        <f t="shared" si="16"/>
        <v>#VALUE!</v>
      </c>
      <c r="AA144" s="7" t="e">
        <f t="shared" si="17"/>
        <v>#VALUE!</v>
      </c>
      <c r="AB144" s="6" t="e">
        <f t="shared" si="22"/>
        <v>#VALUE!</v>
      </c>
      <c r="AC144" s="16" t="e">
        <f t="shared" si="23"/>
        <v>#VALUE!</v>
      </c>
      <c r="AD144" s="16" t="e">
        <f t="shared" si="18"/>
        <v>#VALUE!</v>
      </c>
      <c r="AE144" s="7" t="e">
        <f t="shared" si="19"/>
        <v>#VALUE!</v>
      </c>
    </row>
    <row r="145" spans="11:31" x14ac:dyDescent="0.35">
      <c r="K145">
        <v>145</v>
      </c>
      <c r="X145" s="6" t="e">
        <f t="shared" si="20"/>
        <v>#VALUE!</v>
      </c>
      <c r="Y145" s="7" t="e">
        <f t="shared" si="21"/>
        <v>#VALUE!</v>
      </c>
      <c r="Z145" s="6" t="e">
        <f t="shared" si="16"/>
        <v>#VALUE!</v>
      </c>
      <c r="AA145" s="7" t="e">
        <f t="shared" si="17"/>
        <v>#VALUE!</v>
      </c>
      <c r="AB145" s="6" t="e">
        <f t="shared" si="22"/>
        <v>#VALUE!</v>
      </c>
      <c r="AC145" s="16" t="e">
        <f t="shared" si="23"/>
        <v>#VALUE!</v>
      </c>
      <c r="AD145" s="16" t="e">
        <f t="shared" si="18"/>
        <v>#VALUE!</v>
      </c>
      <c r="AE145" s="7" t="e">
        <f t="shared" si="19"/>
        <v>#VALUE!</v>
      </c>
    </row>
    <row r="146" spans="11:31" x14ac:dyDescent="0.35">
      <c r="K146">
        <v>146</v>
      </c>
      <c r="X146" s="6" t="e">
        <f t="shared" si="20"/>
        <v>#VALUE!</v>
      </c>
      <c r="Y146" s="7" t="e">
        <f t="shared" si="21"/>
        <v>#VALUE!</v>
      </c>
      <c r="Z146" s="6" t="e">
        <f t="shared" si="16"/>
        <v>#VALUE!</v>
      </c>
      <c r="AA146" s="7" t="e">
        <f t="shared" si="17"/>
        <v>#VALUE!</v>
      </c>
      <c r="AB146" s="6" t="e">
        <f t="shared" si="22"/>
        <v>#VALUE!</v>
      </c>
      <c r="AC146" s="16" t="e">
        <f t="shared" si="23"/>
        <v>#VALUE!</v>
      </c>
      <c r="AD146" s="16" t="e">
        <f t="shared" si="18"/>
        <v>#VALUE!</v>
      </c>
      <c r="AE146" s="7" t="e">
        <f t="shared" si="19"/>
        <v>#VALUE!</v>
      </c>
    </row>
    <row r="147" spans="11:31" x14ac:dyDescent="0.35">
      <c r="K147">
        <v>147</v>
      </c>
      <c r="X147" s="6" t="e">
        <f t="shared" si="20"/>
        <v>#VALUE!</v>
      </c>
      <c r="Y147" s="7" t="e">
        <f t="shared" si="21"/>
        <v>#VALUE!</v>
      </c>
      <c r="Z147" s="6" t="e">
        <f t="shared" si="16"/>
        <v>#VALUE!</v>
      </c>
      <c r="AA147" s="7" t="e">
        <f t="shared" si="17"/>
        <v>#VALUE!</v>
      </c>
      <c r="AB147" s="6" t="e">
        <f t="shared" si="22"/>
        <v>#VALUE!</v>
      </c>
      <c r="AC147" s="16" t="e">
        <f t="shared" si="23"/>
        <v>#VALUE!</v>
      </c>
      <c r="AD147" s="16" t="e">
        <f t="shared" si="18"/>
        <v>#VALUE!</v>
      </c>
      <c r="AE147" s="7" t="e">
        <f t="shared" si="19"/>
        <v>#VALUE!</v>
      </c>
    </row>
    <row r="148" spans="11:31" x14ac:dyDescent="0.35">
      <c r="K148">
        <v>148</v>
      </c>
      <c r="X148" s="6" t="e">
        <f t="shared" si="20"/>
        <v>#VALUE!</v>
      </c>
      <c r="Y148" s="7" t="e">
        <f t="shared" si="21"/>
        <v>#VALUE!</v>
      </c>
      <c r="Z148" s="6" t="e">
        <f t="shared" si="16"/>
        <v>#VALUE!</v>
      </c>
      <c r="AA148" s="7" t="e">
        <f t="shared" si="17"/>
        <v>#VALUE!</v>
      </c>
      <c r="AB148" s="6" t="e">
        <f t="shared" si="22"/>
        <v>#VALUE!</v>
      </c>
      <c r="AC148" s="16" t="e">
        <f t="shared" si="23"/>
        <v>#VALUE!</v>
      </c>
      <c r="AD148" s="16" t="e">
        <f t="shared" si="18"/>
        <v>#VALUE!</v>
      </c>
      <c r="AE148" s="7" t="e">
        <f t="shared" si="19"/>
        <v>#VALUE!</v>
      </c>
    </row>
    <row r="149" spans="11:31" x14ac:dyDescent="0.35">
      <c r="K149">
        <v>149</v>
      </c>
      <c r="X149" s="6" t="e">
        <f t="shared" si="20"/>
        <v>#VALUE!</v>
      </c>
      <c r="Y149" s="7" t="e">
        <f t="shared" si="21"/>
        <v>#VALUE!</v>
      </c>
      <c r="Z149" s="6" t="e">
        <f t="shared" si="16"/>
        <v>#VALUE!</v>
      </c>
      <c r="AA149" s="7" t="e">
        <f t="shared" si="17"/>
        <v>#VALUE!</v>
      </c>
      <c r="AB149" s="6" t="e">
        <f t="shared" si="22"/>
        <v>#VALUE!</v>
      </c>
      <c r="AC149" s="16" t="e">
        <f t="shared" si="23"/>
        <v>#VALUE!</v>
      </c>
      <c r="AD149" s="16" t="e">
        <f t="shared" si="18"/>
        <v>#VALUE!</v>
      </c>
      <c r="AE149" s="7" t="e">
        <f t="shared" si="19"/>
        <v>#VALUE!</v>
      </c>
    </row>
    <row r="150" spans="11:31" x14ac:dyDescent="0.35">
      <c r="K150">
        <v>150</v>
      </c>
      <c r="X150" s="6" t="e">
        <f t="shared" si="20"/>
        <v>#VALUE!</v>
      </c>
      <c r="Y150" s="7" t="e">
        <f t="shared" si="21"/>
        <v>#VALUE!</v>
      </c>
      <c r="Z150" s="6" t="e">
        <f t="shared" si="16"/>
        <v>#VALUE!</v>
      </c>
      <c r="AA150" s="7" t="e">
        <f t="shared" si="17"/>
        <v>#VALUE!</v>
      </c>
      <c r="AB150" s="6" t="e">
        <f t="shared" si="22"/>
        <v>#VALUE!</v>
      </c>
      <c r="AC150" s="16" t="e">
        <f t="shared" si="23"/>
        <v>#VALUE!</v>
      </c>
      <c r="AD150" s="16" t="e">
        <f t="shared" si="18"/>
        <v>#VALUE!</v>
      </c>
      <c r="AE150" s="7" t="e">
        <f t="shared" si="19"/>
        <v>#VALUE!</v>
      </c>
    </row>
    <row r="151" spans="11:31" x14ac:dyDescent="0.35">
      <c r="K151">
        <v>151</v>
      </c>
      <c r="X151" s="6" t="e">
        <f t="shared" si="20"/>
        <v>#VALUE!</v>
      </c>
      <c r="Y151" s="7" t="e">
        <f t="shared" si="21"/>
        <v>#VALUE!</v>
      </c>
      <c r="Z151" s="6" t="e">
        <f t="shared" si="16"/>
        <v>#VALUE!</v>
      </c>
      <c r="AA151" s="7" t="e">
        <f t="shared" si="17"/>
        <v>#VALUE!</v>
      </c>
      <c r="AB151" s="6" t="e">
        <f t="shared" si="22"/>
        <v>#VALUE!</v>
      </c>
      <c r="AC151" s="16" t="e">
        <f t="shared" si="23"/>
        <v>#VALUE!</v>
      </c>
      <c r="AD151" s="16" t="e">
        <f t="shared" si="18"/>
        <v>#VALUE!</v>
      </c>
      <c r="AE151" s="7" t="e">
        <f t="shared" si="19"/>
        <v>#VALUE!</v>
      </c>
    </row>
    <row r="152" spans="11:31" x14ac:dyDescent="0.35">
      <c r="K152">
        <v>152</v>
      </c>
      <c r="X152" s="6" t="e">
        <f t="shared" si="20"/>
        <v>#VALUE!</v>
      </c>
      <c r="Y152" s="7" t="e">
        <f t="shared" si="21"/>
        <v>#VALUE!</v>
      </c>
      <c r="Z152" s="6" t="e">
        <f t="shared" si="16"/>
        <v>#VALUE!</v>
      </c>
      <c r="AA152" s="7" t="e">
        <f t="shared" si="17"/>
        <v>#VALUE!</v>
      </c>
      <c r="AB152" s="6" t="e">
        <f t="shared" si="22"/>
        <v>#VALUE!</v>
      </c>
      <c r="AC152" s="16" t="e">
        <f t="shared" si="23"/>
        <v>#VALUE!</v>
      </c>
      <c r="AD152" s="16" t="e">
        <f t="shared" si="18"/>
        <v>#VALUE!</v>
      </c>
      <c r="AE152" s="7" t="e">
        <f t="shared" si="19"/>
        <v>#VALUE!</v>
      </c>
    </row>
    <row r="153" spans="11:31" x14ac:dyDescent="0.35">
      <c r="K153">
        <v>153</v>
      </c>
      <c r="X153" s="6" t="e">
        <f t="shared" si="20"/>
        <v>#VALUE!</v>
      </c>
      <c r="Y153" s="7" t="e">
        <f t="shared" si="21"/>
        <v>#VALUE!</v>
      </c>
      <c r="Z153" s="6" t="e">
        <f t="shared" si="16"/>
        <v>#VALUE!</v>
      </c>
      <c r="AA153" s="7" t="e">
        <f t="shared" si="17"/>
        <v>#VALUE!</v>
      </c>
      <c r="AB153" s="6" t="e">
        <f t="shared" si="22"/>
        <v>#VALUE!</v>
      </c>
      <c r="AC153" s="16" t="e">
        <f t="shared" si="23"/>
        <v>#VALUE!</v>
      </c>
      <c r="AD153" s="16" t="e">
        <f t="shared" si="18"/>
        <v>#VALUE!</v>
      </c>
      <c r="AE153" s="7" t="e">
        <f t="shared" si="19"/>
        <v>#VALUE!</v>
      </c>
    </row>
    <row r="154" spans="11:31" x14ac:dyDescent="0.35">
      <c r="K154">
        <v>154</v>
      </c>
      <c r="X154" s="6" t="e">
        <f t="shared" si="20"/>
        <v>#VALUE!</v>
      </c>
      <c r="Y154" s="7" t="e">
        <f t="shared" si="21"/>
        <v>#VALUE!</v>
      </c>
      <c r="Z154" s="6" t="e">
        <f t="shared" si="16"/>
        <v>#VALUE!</v>
      </c>
      <c r="AA154" s="7" t="e">
        <f t="shared" si="17"/>
        <v>#VALUE!</v>
      </c>
      <c r="AB154" s="6" t="e">
        <f t="shared" si="22"/>
        <v>#VALUE!</v>
      </c>
      <c r="AC154" s="16" t="e">
        <f t="shared" si="23"/>
        <v>#VALUE!</v>
      </c>
      <c r="AD154" s="16" t="e">
        <f t="shared" si="18"/>
        <v>#VALUE!</v>
      </c>
      <c r="AE154" s="7" t="e">
        <f t="shared" si="19"/>
        <v>#VALUE!</v>
      </c>
    </row>
    <row r="155" spans="11:31" x14ac:dyDescent="0.35">
      <c r="K155">
        <v>155</v>
      </c>
      <c r="X155" s="6" t="e">
        <f t="shared" si="20"/>
        <v>#VALUE!</v>
      </c>
      <c r="Y155" s="7" t="e">
        <f t="shared" si="21"/>
        <v>#VALUE!</v>
      </c>
      <c r="Z155" s="6" t="e">
        <f t="shared" si="16"/>
        <v>#VALUE!</v>
      </c>
      <c r="AA155" s="7" t="e">
        <f t="shared" si="17"/>
        <v>#VALUE!</v>
      </c>
      <c r="AB155" s="6" t="e">
        <f t="shared" si="22"/>
        <v>#VALUE!</v>
      </c>
      <c r="AC155" s="16" t="e">
        <f t="shared" si="23"/>
        <v>#VALUE!</v>
      </c>
      <c r="AD155" s="16" t="e">
        <f t="shared" si="18"/>
        <v>#VALUE!</v>
      </c>
      <c r="AE155" s="7" t="e">
        <f t="shared" si="19"/>
        <v>#VALUE!</v>
      </c>
    </row>
    <row r="156" spans="11:31" x14ac:dyDescent="0.35">
      <c r="K156">
        <v>156</v>
      </c>
      <c r="X156" s="6" t="e">
        <f t="shared" si="20"/>
        <v>#VALUE!</v>
      </c>
      <c r="Y156" s="7" t="e">
        <f t="shared" si="21"/>
        <v>#VALUE!</v>
      </c>
      <c r="Z156" s="6" t="e">
        <f t="shared" si="16"/>
        <v>#VALUE!</v>
      </c>
      <c r="AA156" s="7" t="e">
        <f t="shared" si="17"/>
        <v>#VALUE!</v>
      </c>
      <c r="AB156" s="6" t="e">
        <f t="shared" si="22"/>
        <v>#VALUE!</v>
      </c>
      <c r="AC156" s="16" t="e">
        <f t="shared" si="23"/>
        <v>#VALUE!</v>
      </c>
      <c r="AD156" s="16" t="e">
        <f t="shared" si="18"/>
        <v>#VALUE!</v>
      </c>
      <c r="AE156" s="7" t="e">
        <f t="shared" si="19"/>
        <v>#VALUE!</v>
      </c>
    </row>
    <row r="157" spans="11:31" x14ac:dyDescent="0.35">
      <c r="K157">
        <v>157</v>
      </c>
      <c r="X157" s="6" t="e">
        <f t="shared" si="20"/>
        <v>#VALUE!</v>
      </c>
      <c r="Y157" s="7" t="e">
        <f t="shared" si="21"/>
        <v>#VALUE!</v>
      </c>
      <c r="Z157" s="6" t="e">
        <f t="shared" si="16"/>
        <v>#VALUE!</v>
      </c>
      <c r="AA157" s="7" t="e">
        <f t="shared" si="17"/>
        <v>#VALUE!</v>
      </c>
      <c r="AB157" s="6" t="e">
        <f t="shared" si="22"/>
        <v>#VALUE!</v>
      </c>
      <c r="AC157" s="16" t="e">
        <f t="shared" si="23"/>
        <v>#VALUE!</v>
      </c>
      <c r="AD157" s="16" t="e">
        <f t="shared" si="18"/>
        <v>#VALUE!</v>
      </c>
      <c r="AE157" s="7" t="e">
        <f t="shared" si="19"/>
        <v>#VALUE!</v>
      </c>
    </row>
    <row r="158" spans="11:31" x14ac:dyDescent="0.35">
      <c r="K158">
        <v>158</v>
      </c>
      <c r="X158" s="6" t="e">
        <f t="shared" si="20"/>
        <v>#VALUE!</v>
      </c>
      <c r="Y158" s="7" t="e">
        <f t="shared" si="21"/>
        <v>#VALUE!</v>
      </c>
      <c r="Z158" s="6" t="e">
        <f t="shared" si="16"/>
        <v>#VALUE!</v>
      </c>
      <c r="AA158" s="7" t="e">
        <f t="shared" si="17"/>
        <v>#VALUE!</v>
      </c>
      <c r="AB158" s="6" t="e">
        <f t="shared" si="22"/>
        <v>#VALUE!</v>
      </c>
      <c r="AC158" s="16" t="e">
        <f t="shared" si="23"/>
        <v>#VALUE!</v>
      </c>
      <c r="AD158" s="16" t="e">
        <f t="shared" si="18"/>
        <v>#VALUE!</v>
      </c>
      <c r="AE158" s="7" t="e">
        <f t="shared" si="19"/>
        <v>#VALUE!</v>
      </c>
    </row>
    <row r="159" spans="11:31" x14ac:dyDescent="0.35">
      <c r="K159">
        <v>159</v>
      </c>
      <c r="X159" s="6" t="e">
        <f t="shared" si="20"/>
        <v>#VALUE!</v>
      </c>
      <c r="Y159" s="7" t="e">
        <f t="shared" si="21"/>
        <v>#VALUE!</v>
      </c>
      <c r="Z159" s="6" t="e">
        <f t="shared" si="16"/>
        <v>#VALUE!</v>
      </c>
      <c r="AA159" s="7" t="e">
        <f t="shared" si="17"/>
        <v>#VALUE!</v>
      </c>
      <c r="AB159" s="6" t="e">
        <f t="shared" si="22"/>
        <v>#VALUE!</v>
      </c>
      <c r="AC159" s="16" t="e">
        <f t="shared" si="23"/>
        <v>#VALUE!</v>
      </c>
      <c r="AD159" s="16" t="e">
        <f t="shared" si="18"/>
        <v>#VALUE!</v>
      </c>
      <c r="AE159" s="7" t="e">
        <f t="shared" si="19"/>
        <v>#VALUE!</v>
      </c>
    </row>
    <row r="160" spans="11:31" x14ac:dyDescent="0.35">
      <c r="K160">
        <v>160</v>
      </c>
      <c r="X160" s="6" t="e">
        <f t="shared" si="20"/>
        <v>#VALUE!</v>
      </c>
      <c r="Y160" s="7" t="e">
        <f t="shared" si="21"/>
        <v>#VALUE!</v>
      </c>
      <c r="Z160" s="6" t="e">
        <f t="shared" si="16"/>
        <v>#VALUE!</v>
      </c>
      <c r="AA160" s="7" t="e">
        <f t="shared" si="17"/>
        <v>#VALUE!</v>
      </c>
      <c r="AB160" s="6" t="e">
        <f t="shared" si="22"/>
        <v>#VALUE!</v>
      </c>
      <c r="AC160" s="16" t="e">
        <f t="shared" si="23"/>
        <v>#VALUE!</v>
      </c>
      <c r="AD160" s="16" t="e">
        <f t="shared" si="18"/>
        <v>#VALUE!</v>
      </c>
      <c r="AE160" s="7" t="e">
        <f t="shared" si="19"/>
        <v>#VALUE!</v>
      </c>
    </row>
    <row r="161" spans="11:31" x14ac:dyDescent="0.35">
      <c r="K161">
        <v>161</v>
      </c>
      <c r="X161" s="6" t="e">
        <f t="shared" si="20"/>
        <v>#VALUE!</v>
      </c>
      <c r="Y161" s="7" t="e">
        <f t="shared" si="21"/>
        <v>#VALUE!</v>
      </c>
      <c r="Z161" s="6" t="e">
        <f t="shared" si="16"/>
        <v>#VALUE!</v>
      </c>
      <c r="AA161" s="7" t="e">
        <f t="shared" si="17"/>
        <v>#VALUE!</v>
      </c>
      <c r="AB161" s="6" t="e">
        <f t="shared" si="22"/>
        <v>#VALUE!</v>
      </c>
      <c r="AC161" s="16" t="e">
        <f t="shared" si="23"/>
        <v>#VALUE!</v>
      </c>
      <c r="AD161" s="16" t="e">
        <f t="shared" si="18"/>
        <v>#VALUE!</v>
      </c>
      <c r="AE161" s="7" t="e">
        <f t="shared" si="19"/>
        <v>#VALUE!</v>
      </c>
    </row>
    <row r="162" spans="11:31" x14ac:dyDescent="0.35">
      <c r="K162">
        <v>162</v>
      </c>
      <c r="X162" s="6" t="e">
        <f t="shared" si="20"/>
        <v>#VALUE!</v>
      </c>
      <c r="Y162" s="7" t="e">
        <f t="shared" si="21"/>
        <v>#VALUE!</v>
      </c>
      <c r="Z162" s="6" t="e">
        <f t="shared" si="16"/>
        <v>#VALUE!</v>
      </c>
      <c r="AA162" s="7" t="e">
        <f t="shared" si="17"/>
        <v>#VALUE!</v>
      </c>
      <c r="AB162" s="6" t="e">
        <f t="shared" si="22"/>
        <v>#VALUE!</v>
      </c>
      <c r="AC162" s="16" t="e">
        <f t="shared" si="23"/>
        <v>#VALUE!</v>
      </c>
      <c r="AD162" s="16" t="e">
        <f t="shared" si="18"/>
        <v>#VALUE!</v>
      </c>
      <c r="AE162" s="7" t="e">
        <f t="shared" si="19"/>
        <v>#VALUE!</v>
      </c>
    </row>
    <row r="163" spans="11:31" x14ac:dyDescent="0.35">
      <c r="K163">
        <v>163</v>
      </c>
      <c r="X163" s="6" t="e">
        <f t="shared" si="20"/>
        <v>#VALUE!</v>
      </c>
      <c r="Y163" s="7" t="e">
        <f t="shared" si="21"/>
        <v>#VALUE!</v>
      </c>
      <c r="Z163" s="6" t="e">
        <f t="shared" si="16"/>
        <v>#VALUE!</v>
      </c>
      <c r="AA163" s="7" t="e">
        <f t="shared" si="17"/>
        <v>#VALUE!</v>
      </c>
      <c r="AB163" s="6" t="e">
        <f t="shared" si="22"/>
        <v>#VALUE!</v>
      </c>
      <c r="AC163" s="16" t="e">
        <f t="shared" si="23"/>
        <v>#VALUE!</v>
      </c>
      <c r="AD163" s="16" t="e">
        <f t="shared" si="18"/>
        <v>#VALUE!</v>
      </c>
      <c r="AE163" s="7" t="e">
        <f t="shared" si="19"/>
        <v>#VALUE!</v>
      </c>
    </row>
    <row r="164" spans="11:31" x14ac:dyDescent="0.35">
      <c r="K164">
        <v>164</v>
      </c>
      <c r="X164" s="6" t="e">
        <f t="shared" si="20"/>
        <v>#VALUE!</v>
      </c>
      <c r="Y164" s="7" t="e">
        <f t="shared" si="21"/>
        <v>#VALUE!</v>
      </c>
      <c r="Z164" s="6" t="e">
        <f t="shared" si="16"/>
        <v>#VALUE!</v>
      </c>
      <c r="AA164" s="7" t="e">
        <f t="shared" si="17"/>
        <v>#VALUE!</v>
      </c>
      <c r="AB164" s="6" t="e">
        <f t="shared" si="22"/>
        <v>#VALUE!</v>
      </c>
      <c r="AC164" s="16" t="e">
        <f t="shared" si="23"/>
        <v>#VALUE!</v>
      </c>
      <c r="AD164" s="16" t="e">
        <f t="shared" si="18"/>
        <v>#VALUE!</v>
      </c>
      <c r="AE164" s="7" t="e">
        <f t="shared" si="19"/>
        <v>#VALUE!</v>
      </c>
    </row>
    <row r="165" spans="11:31" x14ac:dyDescent="0.35">
      <c r="K165">
        <v>165</v>
      </c>
      <c r="X165" s="6" t="e">
        <f t="shared" si="20"/>
        <v>#VALUE!</v>
      </c>
      <c r="Y165" s="7" t="e">
        <f t="shared" si="21"/>
        <v>#VALUE!</v>
      </c>
      <c r="Z165" s="6" t="e">
        <f t="shared" si="16"/>
        <v>#VALUE!</v>
      </c>
      <c r="AA165" s="7" t="e">
        <f t="shared" si="17"/>
        <v>#VALUE!</v>
      </c>
      <c r="AB165" s="6" t="e">
        <f t="shared" si="22"/>
        <v>#VALUE!</v>
      </c>
      <c r="AC165" s="16" t="e">
        <f t="shared" si="23"/>
        <v>#VALUE!</v>
      </c>
      <c r="AD165" s="16" t="e">
        <f t="shared" si="18"/>
        <v>#VALUE!</v>
      </c>
      <c r="AE165" s="7" t="e">
        <f t="shared" si="19"/>
        <v>#VALUE!</v>
      </c>
    </row>
    <row r="166" spans="11:31" x14ac:dyDescent="0.35">
      <c r="K166">
        <v>166</v>
      </c>
      <c r="X166" s="6" t="e">
        <f t="shared" si="20"/>
        <v>#VALUE!</v>
      </c>
      <c r="Y166" s="7" t="e">
        <f t="shared" si="21"/>
        <v>#VALUE!</v>
      </c>
      <c r="Z166" s="6" t="e">
        <f t="shared" si="16"/>
        <v>#VALUE!</v>
      </c>
      <c r="AA166" s="7" t="e">
        <f t="shared" si="17"/>
        <v>#VALUE!</v>
      </c>
      <c r="AB166" s="6" t="e">
        <f t="shared" si="22"/>
        <v>#VALUE!</v>
      </c>
      <c r="AC166" s="16" t="e">
        <f t="shared" si="23"/>
        <v>#VALUE!</v>
      </c>
      <c r="AD166" s="16" t="e">
        <f t="shared" si="18"/>
        <v>#VALUE!</v>
      </c>
      <c r="AE166" s="7" t="e">
        <f t="shared" si="19"/>
        <v>#VALUE!</v>
      </c>
    </row>
    <row r="167" spans="11:31" x14ac:dyDescent="0.35">
      <c r="K167">
        <v>167</v>
      </c>
      <c r="X167" s="6" t="e">
        <f t="shared" si="20"/>
        <v>#VALUE!</v>
      </c>
      <c r="Y167" s="7" t="e">
        <f t="shared" si="21"/>
        <v>#VALUE!</v>
      </c>
      <c r="Z167" s="6" t="e">
        <f t="shared" si="16"/>
        <v>#VALUE!</v>
      </c>
      <c r="AA167" s="7" t="e">
        <f t="shared" si="17"/>
        <v>#VALUE!</v>
      </c>
      <c r="AB167" s="6" t="e">
        <f t="shared" si="22"/>
        <v>#VALUE!</v>
      </c>
      <c r="AC167" s="16" t="e">
        <f t="shared" si="23"/>
        <v>#VALUE!</v>
      </c>
      <c r="AD167" s="16" t="e">
        <f t="shared" si="18"/>
        <v>#VALUE!</v>
      </c>
      <c r="AE167" s="7" t="e">
        <f t="shared" si="19"/>
        <v>#VALUE!</v>
      </c>
    </row>
    <row r="168" spans="11:31" x14ac:dyDescent="0.35">
      <c r="K168">
        <v>168</v>
      </c>
      <c r="X168" s="6" t="e">
        <f t="shared" si="20"/>
        <v>#VALUE!</v>
      </c>
      <c r="Y168" s="7" t="e">
        <f t="shared" si="21"/>
        <v>#VALUE!</v>
      </c>
      <c r="Z168" s="6" t="e">
        <f t="shared" si="16"/>
        <v>#VALUE!</v>
      </c>
      <c r="AA168" s="7" t="e">
        <f t="shared" si="17"/>
        <v>#VALUE!</v>
      </c>
      <c r="AB168" s="6" t="e">
        <f t="shared" si="22"/>
        <v>#VALUE!</v>
      </c>
      <c r="AC168" s="16" t="e">
        <f t="shared" si="23"/>
        <v>#VALUE!</v>
      </c>
      <c r="AD168" s="16" t="e">
        <f t="shared" si="18"/>
        <v>#VALUE!</v>
      </c>
      <c r="AE168" s="7" t="e">
        <f t="shared" si="19"/>
        <v>#VALUE!</v>
      </c>
    </row>
    <row r="169" spans="11:31" x14ac:dyDescent="0.35">
      <c r="K169">
        <v>169</v>
      </c>
      <c r="X169" s="6" t="e">
        <f t="shared" si="20"/>
        <v>#VALUE!</v>
      </c>
      <c r="Y169" s="7" t="e">
        <f t="shared" si="21"/>
        <v>#VALUE!</v>
      </c>
      <c r="Z169" s="6" t="e">
        <f t="shared" si="16"/>
        <v>#VALUE!</v>
      </c>
      <c r="AA169" s="7" t="e">
        <f t="shared" si="17"/>
        <v>#VALUE!</v>
      </c>
      <c r="AB169" s="6" t="e">
        <f t="shared" si="22"/>
        <v>#VALUE!</v>
      </c>
      <c r="AC169" s="16" t="e">
        <f t="shared" si="23"/>
        <v>#VALUE!</v>
      </c>
      <c r="AD169" s="16" t="e">
        <f t="shared" si="18"/>
        <v>#VALUE!</v>
      </c>
      <c r="AE169" s="7" t="e">
        <f t="shared" si="19"/>
        <v>#VALUE!</v>
      </c>
    </row>
    <row r="170" spans="11:31" x14ac:dyDescent="0.35">
      <c r="K170">
        <v>170</v>
      </c>
      <c r="X170" s="6" t="e">
        <f t="shared" si="20"/>
        <v>#VALUE!</v>
      </c>
      <c r="Y170" s="7" t="e">
        <f t="shared" si="21"/>
        <v>#VALUE!</v>
      </c>
      <c r="Z170" s="6" t="e">
        <f t="shared" si="16"/>
        <v>#VALUE!</v>
      </c>
      <c r="AA170" s="7" t="e">
        <f t="shared" si="17"/>
        <v>#VALUE!</v>
      </c>
      <c r="AB170" s="6" t="e">
        <f t="shared" si="22"/>
        <v>#VALUE!</v>
      </c>
      <c r="AC170" s="16" t="e">
        <f t="shared" si="23"/>
        <v>#VALUE!</v>
      </c>
      <c r="AD170" s="16" t="e">
        <f t="shared" si="18"/>
        <v>#VALUE!</v>
      </c>
      <c r="AE170" s="7" t="e">
        <f t="shared" si="19"/>
        <v>#VALUE!</v>
      </c>
    </row>
    <row r="171" spans="11:31" x14ac:dyDescent="0.35">
      <c r="K171">
        <v>171</v>
      </c>
      <c r="X171" s="6" t="e">
        <f t="shared" si="20"/>
        <v>#VALUE!</v>
      </c>
      <c r="Y171" s="7" t="e">
        <f t="shared" si="21"/>
        <v>#VALUE!</v>
      </c>
      <c r="Z171" s="6" t="e">
        <f t="shared" si="16"/>
        <v>#VALUE!</v>
      </c>
      <c r="AA171" s="7" t="e">
        <f t="shared" si="17"/>
        <v>#VALUE!</v>
      </c>
      <c r="AB171" s="6" t="e">
        <f t="shared" si="22"/>
        <v>#VALUE!</v>
      </c>
      <c r="AC171" s="16" t="e">
        <f t="shared" si="23"/>
        <v>#VALUE!</v>
      </c>
      <c r="AD171" s="16" t="e">
        <f t="shared" si="18"/>
        <v>#VALUE!</v>
      </c>
      <c r="AE171" s="7" t="e">
        <f t="shared" si="19"/>
        <v>#VALUE!</v>
      </c>
    </row>
    <row r="172" spans="11:31" x14ac:dyDescent="0.35">
      <c r="K172">
        <v>172</v>
      </c>
      <c r="X172" s="6" t="e">
        <f t="shared" si="20"/>
        <v>#VALUE!</v>
      </c>
      <c r="Y172" s="7" t="e">
        <f t="shared" si="21"/>
        <v>#VALUE!</v>
      </c>
      <c r="Z172" s="6" t="e">
        <f t="shared" si="16"/>
        <v>#VALUE!</v>
      </c>
      <c r="AA172" s="7" t="e">
        <f t="shared" si="17"/>
        <v>#VALUE!</v>
      </c>
      <c r="AB172" s="6" t="e">
        <f t="shared" si="22"/>
        <v>#VALUE!</v>
      </c>
      <c r="AC172" s="16" t="e">
        <f t="shared" si="23"/>
        <v>#VALUE!</v>
      </c>
      <c r="AD172" s="16" t="e">
        <f t="shared" si="18"/>
        <v>#VALUE!</v>
      </c>
      <c r="AE172" s="7" t="e">
        <f t="shared" si="19"/>
        <v>#VALUE!</v>
      </c>
    </row>
    <row r="173" spans="11:31" x14ac:dyDescent="0.35">
      <c r="K173">
        <v>173</v>
      </c>
      <c r="X173" s="6" t="e">
        <f t="shared" si="20"/>
        <v>#VALUE!</v>
      </c>
      <c r="Y173" s="7" t="e">
        <f t="shared" si="21"/>
        <v>#VALUE!</v>
      </c>
      <c r="Z173" s="6" t="e">
        <f t="shared" si="16"/>
        <v>#VALUE!</v>
      </c>
      <c r="AA173" s="7" t="e">
        <f t="shared" si="17"/>
        <v>#VALUE!</v>
      </c>
      <c r="AB173" s="6" t="e">
        <f t="shared" si="22"/>
        <v>#VALUE!</v>
      </c>
      <c r="AC173" s="16" t="e">
        <f t="shared" si="23"/>
        <v>#VALUE!</v>
      </c>
      <c r="AD173" s="16" t="e">
        <f t="shared" si="18"/>
        <v>#VALUE!</v>
      </c>
      <c r="AE173" s="7" t="e">
        <f t="shared" si="19"/>
        <v>#VALUE!</v>
      </c>
    </row>
    <row r="174" spans="11:31" x14ac:dyDescent="0.35">
      <c r="K174">
        <v>174</v>
      </c>
      <c r="X174" s="6" t="e">
        <f t="shared" si="20"/>
        <v>#VALUE!</v>
      </c>
      <c r="Y174" s="7" t="e">
        <f t="shared" si="21"/>
        <v>#VALUE!</v>
      </c>
      <c r="Z174" s="6" t="e">
        <f t="shared" si="16"/>
        <v>#VALUE!</v>
      </c>
      <c r="AA174" s="7" t="e">
        <f t="shared" si="17"/>
        <v>#VALUE!</v>
      </c>
      <c r="AB174" s="6" t="e">
        <f t="shared" si="22"/>
        <v>#VALUE!</v>
      </c>
      <c r="AC174" s="16" t="e">
        <f t="shared" si="23"/>
        <v>#VALUE!</v>
      </c>
      <c r="AD174" s="16" t="e">
        <f t="shared" si="18"/>
        <v>#VALUE!</v>
      </c>
      <c r="AE174" s="7" t="e">
        <f t="shared" si="19"/>
        <v>#VALUE!</v>
      </c>
    </row>
    <row r="175" spans="11:31" x14ac:dyDescent="0.35">
      <c r="K175">
        <v>175</v>
      </c>
      <c r="X175" s="6" t="e">
        <f t="shared" si="20"/>
        <v>#VALUE!</v>
      </c>
      <c r="Y175" s="7" t="e">
        <f t="shared" si="21"/>
        <v>#VALUE!</v>
      </c>
      <c r="Z175" s="6" t="e">
        <f t="shared" si="16"/>
        <v>#VALUE!</v>
      </c>
      <c r="AA175" s="7" t="e">
        <f t="shared" si="17"/>
        <v>#VALUE!</v>
      </c>
      <c r="AB175" s="6" t="e">
        <f t="shared" si="22"/>
        <v>#VALUE!</v>
      </c>
      <c r="AC175" s="16" t="e">
        <f t="shared" si="23"/>
        <v>#VALUE!</v>
      </c>
      <c r="AD175" s="16" t="e">
        <f t="shared" si="18"/>
        <v>#VALUE!</v>
      </c>
      <c r="AE175" s="7" t="e">
        <f t="shared" si="19"/>
        <v>#VALUE!</v>
      </c>
    </row>
    <row r="176" spans="11:31" x14ac:dyDescent="0.35">
      <c r="K176">
        <v>176</v>
      </c>
      <c r="X176" s="6" t="e">
        <f t="shared" si="20"/>
        <v>#VALUE!</v>
      </c>
      <c r="Y176" s="7" t="e">
        <f t="shared" si="21"/>
        <v>#VALUE!</v>
      </c>
      <c r="Z176" s="6" t="e">
        <f t="shared" si="16"/>
        <v>#VALUE!</v>
      </c>
      <c r="AA176" s="7" t="e">
        <f t="shared" si="17"/>
        <v>#VALUE!</v>
      </c>
      <c r="AB176" s="6" t="e">
        <f t="shared" si="22"/>
        <v>#VALUE!</v>
      </c>
      <c r="AC176" s="16" t="e">
        <f t="shared" si="23"/>
        <v>#VALUE!</v>
      </c>
      <c r="AD176" s="16" t="e">
        <f t="shared" si="18"/>
        <v>#VALUE!</v>
      </c>
      <c r="AE176" s="7" t="e">
        <f t="shared" si="19"/>
        <v>#VALUE!</v>
      </c>
    </row>
    <row r="177" spans="11:31" x14ac:dyDescent="0.35">
      <c r="K177">
        <v>177</v>
      </c>
      <c r="X177" s="6" t="e">
        <f t="shared" si="20"/>
        <v>#VALUE!</v>
      </c>
      <c r="Y177" s="7" t="e">
        <f t="shared" si="21"/>
        <v>#VALUE!</v>
      </c>
      <c r="Z177" s="6" t="e">
        <f t="shared" si="16"/>
        <v>#VALUE!</v>
      </c>
      <c r="AA177" s="7" t="e">
        <f t="shared" si="17"/>
        <v>#VALUE!</v>
      </c>
      <c r="AB177" s="6" t="e">
        <f t="shared" si="22"/>
        <v>#VALUE!</v>
      </c>
      <c r="AC177" s="16" t="e">
        <f t="shared" si="23"/>
        <v>#VALUE!</v>
      </c>
      <c r="AD177" s="16" t="e">
        <f t="shared" si="18"/>
        <v>#VALUE!</v>
      </c>
      <c r="AE177" s="7" t="e">
        <f t="shared" si="19"/>
        <v>#VALUE!</v>
      </c>
    </row>
    <row r="178" spans="11:31" x14ac:dyDescent="0.35">
      <c r="K178">
        <v>178</v>
      </c>
      <c r="X178" s="6" t="e">
        <f t="shared" si="20"/>
        <v>#VALUE!</v>
      </c>
      <c r="Y178" s="7" t="e">
        <f t="shared" si="21"/>
        <v>#VALUE!</v>
      </c>
      <c r="Z178" s="6" t="e">
        <f t="shared" si="16"/>
        <v>#VALUE!</v>
      </c>
      <c r="AA178" s="7" t="e">
        <f t="shared" si="17"/>
        <v>#VALUE!</v>
      </c>
      <c r="AB178" s="6" t="e">
        <f t="shared" si="22"/>
        <v>#VALUE!</v>
      </c>
      <c r="AC178" s="16" t="e">
        <f t="shared" si="23"/>
        <v>#VALUE!</v>
      </c>
      <c r="AD178" s="16" t="e">
        <f t="shared" si="18"/>
        <v>#VALUE!</v>
      </c>
      <c r="AE178" s="7" t="e">
        <f t="shared" si="19"/>
        <v>#VALUE!</v>
      </c>
    </row>
    <row r="179" spans="11:31" x14ac:dyDescent="0.35">
      <c r="K179">
        <v>179</v>
      </c>
      <c r="X179" s="6" t="e">
        <f t="shared" si="20"/>
        <v>#VALUE!</v>
      </c>
      <c r="Y179" s="7" t="e">
        <f t="shared" si="21"/>
        <v>#VALUE!</v>
      </c>
      <c r="Z179" s="6" t="e">
        <f t="shared" si="16"/>
        <v>#VALUE!</v>
      </c>
      <c r="AA179" s="7" t="e">
        <f t="shared" si="17"/>
        <v>#VALUE!</v>
      </c>
      <c r="AB179" s="6" t="e">
        <f t="shared" si="22"/>
        <v>#VALUE!</v>
      </c>
      <c r="AC179" s="16" t="e">
        <f t="shared" si="23"/>
        <v>#VALUE!</v>
      </c>
      <c r="AD179" s="16" t="e">
        <f t="shared" si="18"/>
        <v>#VALUE!</v>
      </c>
      <c r="AE179" s="7" t="e">
        <f t="shared" si="19"/>
        <v>#VALUE!</v>
      </c>
    </row>
    <row r="180" spans="11:31" x14ac:dyDescent="0.35">
      <c r="K180">
        <v>180</v>
      </c>
      <c r="X180" s="6" t="e">
        <f t="shared" si="20"/>
        <v>#VALUE!</v>
      </c>
      <c r="Y180" s="7" t="e">
        <f t="shared" si="21"/>
        <v>#VALUE!</v>
      </c>
      <c r="Z180" s="6" t="e">
        <f t="shared" si="16"/>
        <v>#VALUE!</v>
      </c>
      <c r="AA180" s="7" t="e">
        <f t="shared" si="17"/>
        <v>#VALUE!</v>
      </c>
      <c r="AB180" s="6" t="e">
        <f t="shared" si="22"/>
        <v>#VALUE!</v>
      </c>
      <c r="AC180" s="16" t="e">
        <f t="shared" si="23"/>
        <v>#VALUE!</v>
      </c>
      <c r="AD180" s="16" t="e">
        <f t="shared" si="18"/>
        <v>#VALUE!</v>
      </c>
      <c r="AE180" s="7" t="e">
        <f t="shared" si="19"/>
        <v>#VALUE!</v>
      </c>
    </row>
    <row r="181" spans="11:31" x14ac:dyDescent="0.35">
      <c r="K181">
        <v>181</v>
      </c>
      <c r="X181" s="6" t="e">
        <f t="shared" si="20"/>
        <v>#VALUE!</v>
      </c>
      <c r="Y181" s="7" t="e">
        <f t="shared" si="21"/>
        <v>#VALUE!</v>
      </c>
      <c r="Z181" s="6" t="e">
        <f t="shared" si="16"/>
        <v>#VALUE!</v>
      </c>
      <c r="AA181" s="7" t="e">
        <f t="shared" si="17"/>
        <v>#VALUE!</v>
      </c>
      <c r="AB181" s="6" t="e">
        <f t="shared" si="22"/>
        <v>#VALUE!</v>
      </c>
      <c r="AC181" s="16" t="e">
        <f t="shared" si="23"/>
        <v>#VALUE!</v>
      </c>
      <c r="AD181" s="16" t="e">
        <f t="shared" si="18"/>
        <v>#VALUE!</v>
      </c>
      <c r="AE181" s="7" t="e">
        <f t="shared" si="19"/>
        <v>#VALUE!</v>
      </c>
    </row>
    <row r="182" spans="11:31" x14ac:dyDescent="0.35">
      <c r="K182">
        <v>182</v>
      </c>
      <c r="X182" s="6" t="e">
        <f t="shared" si="20"/>
        <v>#VALUE!</v>
      </c>
      <c r="Y182" s="7" t="e">
        <f t="shared" si="21"/>
        <v>#VALUE!</v>
      </c>
      <c r="Z182" s="6" t="e">
        <f t="shared" si="16"/>
        <v>#VALUE!</v>
      </c>
      <c r="AA182" s="7" t="e">
        <f t="shared" si="17"/>
        <v>#VALUE!</v>
      </c>
      <c r="AB182" s="6" t="e">
        <f t="shared" si="22"/>
        <v>#VALUE!</v>
      </c>
      <c r="AC182" s="16" t="e">
        <f t="shared" si="23"/>
        <v>#VALUE!</v>
      </c>
      <c r="AD182" s="16" t="e">
        <f t="shared" si="18"/>
        <v>#VALUE!</v>
      </c>
      <c r="AE182" s="7" t="e">
        <f t="shared" si="19"/>
        <v>#VALUE!</v>
      </c>
    </row>
    <row r="183" spans="11:31" x14ac:dyDescent="0.35">
      <c r="K183">
        <v>183</v>
      </c>
      <c r="X183" s="6" t="e">
        <f t="shared" si="20"/>
        <v>#VALUE!</v>
      </c>
      <c r="Y183" s="7" t="e">
        <f t="shared" si="21"/>
        <v>#VALUE!</v>
      </c>
      <c r="Z183" s="6" t="e">
        <f t="shared" si="16"/>
        <v>#VALUE!</v>
      </c>
      <c r="AA183" s="7" t="e">
        <f t="shared" si="17"/>
        <v>#VALUE!</v>
      </c>
      <c r="AB183" s="6" t="e">
        <f t="shared" si="22"/>
        <v>#VALUE!</v>
      </c>
      <c r="AC183" s="16" t="e">
        <f t="shared" si="23"/>
        <v>#VALUE!</v>
      </c>
      <c r="AD183" s="16" t="e">
        <f t="shared" si="18"/>
        <v>#VALUE!</v>
      </c>
      <c r="AE183" s="7" t="e">
        <f t="shared" si="19"/>
        <v>#VALUE!</v>
      </c>
    </row>
    <row r="184" spans="11:31" x14ac:dyDescent="0.35">
      <c r="K184">
        <v>184</v>
      </c>
      <c r="X184" s="6" t="e">
        <f t="shared" si="20"/>
        <v>#VALUE!</v>
      </c>
      <c r="Y184" s="7" t="e">
        <f t="shared" si="21"/>
        <v>#VALUE!</v>
      </c>
      <c r="Z184" s="6" t="e">
        <f t="shared" si="16"/>
        <v>#VALUE!</v>
      </c>
      <c r="AA184" s="7" t="e">
        <f t="shared" si="17"/>
        <v>#VALUE!</v>
      </c>
      <c r="AB184" s="6" t="e">
        <f t="shared" si="22"/>
        <v>#VALUE!</v>
      </c>
      <c r="AC184" s="16" t="e">
        <f t="shared" si="23"/>
        <v>#VALUE!</v>
      </c>
      <c r="AD184" s="16" t="e">
        <f t="shared" si="18"/>
        <v>#VALUE!</v>
      </c>
      <c r="AE184" s="7" t="e">
        <f t="shared" si="19"/>
        <v>#VALUE!</v>
      </c>
    </row>
    <row r="185" spans="11:31" x14ac:dyDescent="0.35">
      <c r="K185">
        <v>185</v>
      </c>
      <c r="X185" s="6" t="e">
        <f t="shared" si="20"/>
        <v>#VALUE!</v>
      </c>
      <c r="Y185" s="7" t="e">
        <f t="shared" si="21"/>
        <v>#VALUE!</v>
      </c>
      <c r="Z185" s="6" t="e">
        <f t="shared" si="16"/>
        <v>#VALUE!</v>
      </c>
      <c r="AA185" s="7" t="e">
        <f t="shared" si="17"/>
        <v>#VALUE!</v>
      </c>
      <c r="AB185" s="6" t="e">
        <f t="shared" si="22"/>
        <v>#VALUE!</v>
      </c>
      <c r="AC185" s="16" t="e">
        <f t="shared" si="23"/>
        <v>#VALUE!</v>
      </c>
      <c r="AD185" s="16" t="e">
        <f t="shared" si="18"/>
        <v>#VALUE!</v>
      </c>
      <c r="AE185" s="7" t="e">
        <f t="shared" si="19"/>
        <v>#VALUE!</v>
      </c>
    </row>
    <row r="186" spans="11:31" x14ac:dyDescent="0.35">
      <c r="K186">
        <v>186</v>
      </c>
      <c r="X186" s="6" t="e">
        <f t="shared" si="20"/>
        <v>#VALUE!</v>
      </c>
      <c r="Y186" s="7" t="e">
        <f t="shared" si="21"/>
        <v>#VALUE!</v>
      </c>
      <c r="Z186" s="6" t="e">
        <f t="shared" si="16"/>
        <v>#VALUE!</v>
      </c>
      <c r="AA186" s="7" t="e">
        <f t="shared" si="17"/>
        <v>#VALUE!</v>
      </c>
      <c r="AB186" s="6" t="e">
        <f t="shared" si="22"/>
        <v>#VALUE!</v>
      </c>
      <c r="AC186" s="16" t="e">
        <f t="shared" si="23"/>
        <v>#VALUE!</v>
      </c>
      <c r="AD186" s="16" t="e">
        <f t="shared" si="18"/>
        <v>#VALUE!</v>
      </c>
      <c r="AE186" s="7" t="e">
        <f t="shared" si="19"/>
        <v>#VALUE!</v>
      </c>
    </row>
    <row r="187" spans="11:31" x14ac:dyDescent="0.35">
      <c r="K187">
        <v>187</v>
      </c>
      <c r="X187" s="6" t="e">
        <f t="shared" si="20"/>
        <v>#VALUE!</v>
      </c>
      <c r="Y187" s="7" t="e">
        <f t="shared" si="21"/>
        <v>#VALUE!</v>
      </c>
      <c r="Z187" s="6" t="e">
        <f t="shared" si="16"/>
        <v>#VALUE!</v>
      </c>
      <c r="AA187" s="7" t="e">
        <f t="shared" si="17"/>
        <v>#VALUE!</v>
      </c>
      <c r="AB187" s="6" t="e">
        <f t="shared" si="22"/>
        <v>#VALUE!</v>
      </c>
      <c r="AC187" s="16" t="e">
        <f t="shared" si="23"/>
        <v>#VALUE!</v>
      </c>
      <c r="AD187" s="16" t="e">
        <f t="shared" si="18"/>
        <v>#VALUE!</v>
      </c>
      <c r="AE187" s="7" t="e">
        <f t="shared" si="19"/>
        <v>#VALUE!</v>
      </c>
    </row>
    <row r="188" spans="11:31" x14ac:dyDescent="0.35">
      <c r="K188">
        <v>188</v>
      </c>
      <c r="X188" s="6" t="e">
        <f t="shared" si="20"/>
        <v>#VALUE!</v>
      </c>
      <c r="Y188" s="7" t="e">
        <f t="shared" si="21"/>
        <v>#VALUE!</v>
      </c>
      <c r="Z188" s="6" t="e">
        <f t="shared" si="16"/>
        <v>#VALUE!</v>
      </c>
      <c r="AA188" s="7" t="e">
        <f t="shared" si="17"/>
        <v>#VALUE!</v>
      </c>
      <c r="AB188" s="6" t="e">
        <f t="shared" si="22"/>
        <v>#VALUE!</v>
      </c>
      <c r="AC188" s="16" t="e">
        <f t="shared" si="23"/>
        <v>#VALUE!</v>
      </c>
      <c r="AD188" s="16" t="e">
        <f t="shared" si="18"/>
        <v>#VALUE!</v>
      </c>
      <c r="AE188" s="7" t="e">
        <f t="shared" si="19"/>
        <v>#VALUE!</v>
      </c>
    </row>
    <row r="189" spans="11:31" x14ac:dyDescent="0.35">
      <c r="K189">
        <v>189</v>
      </c>
      <c r="X189" s="6" t="e">
        <f t="shared" si="20"/>
        <v>#VALUE!</v>
      </c>
      <c r="Y189" s="7" t="e">
        <f t="shared" si="21"/>
        <v>#VALUE!</v>
      </c>
      <c r="Z189" s="6" t="e">
        <f t="shared" si="16"/>
        <v>#VALUE!</v>
      </c>
      <c r="AA189" s="7" t="e">
        <f t="shared" si="17"/>
        <v>#VALUE!</v>
      </c>
      <c r="AB189" s="6" t="e">
        <f t="shared" si="22"/>
        <v>#VALUE!</v>
      </c>
      <c r="AC189" s="16" t="e">
        <f t="shared" si="23"/>
        <v>#VALUE!</v>
      </c>
      <c r="AD189" s="16" t="e">
        <f t="shared" si="18"/>
        <v>#VALUE!</v>
      </c>
      <c r="AE189" s="7" t="e">
        <f t="shared" si="19"/>
        <v>#VALUE!</v>
      </c>
    </row>
    <row r="190" spans="11:31" x14ac:dyDescent="0.35">
      <c r="K190">
        <v>190</v>
      </c>
      <c r="X190" s="6" t="e">
        <f t="shared" si="20"/>
        <v>#VALUE!</v>
      </c>
      <c r="Y190" s="7" t="e">
        <f t="shared" si="21"/>
        <v>#VALUE!</v>
      </c>
      <c r="Z190" s="6" t="e">
        <f t="shared" si="16"/>
        <v>#VALUE!</v>
      </c>
      <c r="AA190" s="7" t="e">
        <f t="shared" si="17"/>
        <v>#VALUE!</v>
      </c>
      <c r="AB190" s="6" t="e">
        <f t="shared" si="22"/>
        <v>#VALUE!</v>
      </c>
      <c r="AC190" s="16" t="e">
        <f t="shared" si="23"/>
        <v>#VALUE!</v>
      </c>
      <c r="AD190" s="16" t="e">
        <f t="shared" si="18"/>
        <v>#VALUE!</v>
      </c>
      <c r="AE190" s="7" t="e">
        <f t="shared" si="19"/>
        <v>#VALUE!</v>
      </c>
    </row>
    <row r="191" spans="11:31" x14ac:dyDescent="0.35">
      <c r="K191">
        <v>191</v>
      </c>
      <c r="X191" s="6" t="e">
        <f t="shared" si="20"/>
        <v>#VALUE!</v>
      </c>
      <c r="Y191" s="7" t="e">
        <f t="shared" si="21"/>
        <v>#VALUE!</v>
      </c>
      <c r="Z191" s="6" t="e">
        <f t="shared" si="16"/>
        <v>#VALUE!</v>
      </c>
      <c r="AA191" s="7" t="e">
        <f t="shared" si="17"/>
        <v>#VALUE!</v>
      </c>
      <c r="AB191" s="6" t="e">
        <f t="shared" si="22"/>
        <v>#VALUE!</v>
      </c>
      <c r="AC191" s="16" t="e">
        <f t="shared" si="23"/>
        <v>#VALUE!</v>
      </c>
      <c r="AD191" s="16" t="e">
        <f t="shared" si="18"/>
        <v>#VALUE!</v>
      </c>
      <c r="AE191" s="7" t="e">
        <f t="shared" si="19"/>
        <v>#VALUE!</v>
      </c>
    </row>
    <row r="192" spans="11:31" x14ac:dyDescent="0.35">
      <c r="K192">
        <v>192</v>
      </c>
      <c r="X192" s="6" t="e">
        <f t="shared" si="20"/>
        <v>#VALUE!</v>
      </c>
      <c r="Y192" s="7" t="e">
        <f t="shared" si="21"/>
        <v>#VALUE!</v>
      </c>
      <c r="Z192" s="6" t="e">
        <f t="shared" si="16"/>
        <v>#VALUE!</v>
      </c>
      <c r="AA192" s="7" t="e">
        <f t="shared" si="17"/>
        <v>#VALUE!</v>
      </c>
      <c r="AB192" s="6" t="e">
        <f t="shared" si="22"/>
        <v>#VALUE!</v>
      </c>
      <c r="AC192" s="16" t="e">
        <f t="shared" si="23"/>
        <v>#VALUE!</v>
      </c>
      <c r="AD192" s="16" t="e">
        <f t="shared" si="18"/>
        <v>#VALUE!</v>
      </c>
      <c r="AE192" s="7" t="e">
        <f t="shared" si="19"/>
        <v>#VALUE!</v>
      </c>
    </row>
    <row r="193" spans="11:31" x14ac:dyDescent="0.35">
      <c r="K193">
        <v>193</v>
      </c>
      <c r="X193" s="6" t="e">
        <f t="shared" si="20"/>
        <v>#VALUE!</v>
      </c>
      <c r="Y193" s="7" t="e">
        <f t="shared" si="21"/>
        <v>#VALUE!</v>
      </c>
      <c r="Z193" s="6" t="e">
        <f t="shared" ref="Z193:Z256" si="24">MOD(X193^3+a*X193+b,prime)</f>
        <v>#VALUE!</v>
      </c>
      <c r="AA193" s="7" t="e">
        <f t="shared" ref="AA193:AA256" si="25">MOD(Y193*Y193,prime)</f>
        <v>#VALUE!</v>
      </c>
      <c r="AB193" s="6" t="e">
        <f t="shared" si="22"/>
        <v>#VALUE!</v>
      </c>
      <c r="AC193" s="16" t="e">
        <f t="shared" si="23"/>
        <v>#VALUE!</v>
      </c>
      <c r="AD193" s="16" t="e">
        <f t="shared" ref="AD193:AD256" si="26">modInv(AC193,prime)</f>
        <v>#VALUE!</v>
      </c>
      <c r="AE193" s="7" t="e">
        <f t="shared" ref="AE193:AE256" si="27">MOD(AB193*AD193,prime)</f>
        <v>#VALUE!</v>
      </c>
    </row>
    <row r="194" spans="11:31" x14ac:dyDescent="0.35">
      <c r="K194">
        <v>194</v>
      </c>
      <c r="X194" s="6" t="e">
        <f t="shared" ref="X194:X257" si="28">MOD(AE193*AE193-X193-$X$1,prime)</f>
        <v>#VALUE!</v>
      </c>
      <c r="Y194" s="7" t="e">
        <f t="shared" ref="Y194:Y257" si="29">MOD(AE193*($X$1-X194)-$Y$1,prime)</f>
        <v>#VALUE!</v>
      </c>
      <c r="Z194" s="6" t="e">
        <f t="shared" si="24"/>
        <v>#VALUE!</v>
      </c>
      <c r="AA194" s="7" t="e">
        <f t="shared" si="25"/>
        <v>#VALUE!</v>
      </c>
      <c r="AB194" s="6" t="e">
        <f t="shared" ref="AB194:AB257" si="30">($Y$1-Y194)</f>
        <v>#VALUE!</v>
      </c>
      <c r="AC194" s="16" t="e">
        <f t="shared" ref="AC194:AC257" si="31">($X$1-X194)</f>
        <v>#VALUE!</v>
      </c>
      <c r="AD194" s="16" t="e">
        <f t="shared" si="26"/>
        <v>#VALUE!</v>
      </c>
      <c r="AE194" s="7" t="e">
        <f t="shared" si="27"/>
        <v>#VALUE!</v>
      </c>
    </row>
    <row r="195" spans="11:31" x14ac:dyDescent="0.35">
      <c r="K195">
        <v>195</v>
      </c>
      <c r="X195" s="6" t="e">
        <f t="shared" si="28"/>
        <v>#VALUE!</v>
      </c>
      <c r="Y195" s="7" t="e">
        <f t="shared" si="29"/>
        <v>#VALUE!</v>
      </c>
      <c r="Z195" s="6" t="e">
        <f t="shared" si="24"/>
        <v>#VALUE!</v>
      </c>
      <c r="AA195" s="7" t="e">
        <f t="shared" si="25"/>
        <v>#VALUE!</v>
      </c>
      <c r="AB195" s="6" t="e">
        <f t="shared" si="30"/>
        <v>#VALUE!</v>
      </c>
      <c r="AC195" s="16" t="e">
        <f t="shared" si="31"/>
        <v>#VALUE!</v>
      </c>
      <c r="AD195" s="16" t="e">
        <f t="shared" si="26"/>
        <v>#VALUE!</v>
      </c>
      <c r="AE195" s="7" t="e">
        <f t="shared" si="27"/>
        <v>#VALUE!</v>
      </c>
    </row>
    <row r="196" spans="11:31" x14ac:dyDescent="0.35">
      <c r="K196">
        <v>196</v>
      </c>
      <c r="X196" s="6" t="e">
        <f t="shared" si="28"/>
        <v>#VALUE!</v>
      </c>
      <c r="Y196" s="7" t="e">
        <f t="shared" si="29"/>
        <v>#VALUE!</v>
      </c>
      <c r="Z196" s="6" t="e">
        <f t="shared" si="24"/>
        <v>#VALUE!</v>
      </c>
      <c r="AA196" s="7" t="e">
        <f t="shared" si="25"/>
        <v>#VALUE!</v>
      </c>
      <c r="AB196" s="6" t="e">
        <f t="shared" si="30"/>
        <v>#VALUE!</v>
      </c>
      <c r="AC196" s="16" t="e">
        <f t="shared" si="31"/>
        <v>#VALUE!</v>
      </c>
      <c r="AD196" s="16" t="e">
        <f t="shared" si="26"/>
        <v>#VALUE!</v>
      </c>
      <c r="AE196" s="7" t="e">
        <f t="shared" si="27"/>
        <v>#VALUE!</v>
      </c>
    </row>
    <row r="197" spans="11:31" x14ac:dyDescent="0.35">
      <c r="K197">
        <v>197</v>
      </c>
      <c r="X197" s="6" t="e">
        <f t="shared" si="28"/>
        <v>#VALUE!</v>
      </c>
      <c r="Y197" s="7" t="e">
        <f t="shared" si="29"/>
        <v>#VALUE!</v>
      </c>
      <c r="Z197" s="6" t="e">
        <f t="shared" si="24"/>
        <v>#VALUE!</v>
      </c>
      <c r="AA197" s="7" t="e">
        <f t="shared" si="25"/>
        <v>#VALUE!</v>
      </c>
      <c r="AB197" s="6" t="e">
        <f t="shared" si="30"/>
        <v>#VALUE!</v>
      </c>
      <c r="AC197" s="16" t="e">
        <f t="shared" si="31"/>
        <v>#VALUE!</v>
      </c>
      <c r="AD197" s="16" t="e">
        <f t="shared" si="26"/>
        <v>#VALUE!</v>
      </c>
      <c r="AE197" s="7" t="e">
        <f t="shared" si="27"/>
        <v>#VALUE!</v>
      </c>
    </row>
    <row r="198" spans="11:31" x14ac:dyDescent="0.35">
      <c r="K198">
        <v>198</v>
      </c>
      <c r="X198" s="6" t="e">
        <f t="shared" si="28"/>
        <v>#VALUE!</v>
      </c>
      <c r="Y198" s="7" t="e">
        <f t="shared" si="29"/>
        <v>#VALUE!</v>
      </c>
      <c r="Z198" s="6" t="e">
        <f t="shared" si="24"/>
        <v>#VALUE!</v>
      </c>
      <c r="AA198" s="7" t="e">
        <f t="shared" si="25"/>
        <v>#VALUE!</v>
      </c>
      <c r="AB198" s="6" t="e">
        <f t="shared" si="30"/>
        <v>#VALUE!</v>
      </c>
      <c r="AC198" s="16" t="e">
        <f t="shared" si="31"/>
        <v>#VALUE!</v>
      </c>
      <c r="AD198" s="16" t="e">
        <f t="shared" si="26"/>
        <v>#VALUE!</v>
      </c>
      <c r="AE198" s="7" t="e">
        <f t="shared" si="27"/>
        <v>#VALUE!</v>
      </c>
    </row>
    <row r="199" spans="11:31" x14ac:dyDescent="0.35">
      <c r="K199">
        <v>199</v>
      </c>
      <c r="X199" s="6" t="e">
        <f t="shared" si="28"/>
        <v>#VALUE!</v>
      </c>
      <c r="Y199" s="7" t="e">
        <f t="shared" si="29"/>
        <v>#VALUE!</v>
      </c>
      <c r="Z199" s="6" t="e">
        <f t="shared" si="24"/>
        <v>#VALUE!</v>
      </c>
      <c r="AA199" s="7" t="e">
        <f t="shared" si="25"/>
        <v>#VALUE!</v>
      </c>
      <c r="AB199" s="6" t="e">
        <f t="shared" si="30"/>
        <v>#VALUE!</v>
      </c>
      <c r="AC199" s="16" t="e">
        <f t="shared" si="31"/>
        <v>#VALUE!</v>
      </c>
      <c r="AD199" s="16" t="e">
        <f t="shared" si="26"/>
        <v>#VALUE!</v>
      </c>
      <c r="AE199" s="7" t="e">
        <f t="shared" si="27"/>
        <v>#VALUE!</v>
      </c>
    </row>
    <row r="200" spans="11:31" x14ac:dyDescent="0.35">
      <c r="K200">
        <v>200</v>
      </c>
      <c r="X200" s="6" t="e">
        <f t="shared" si="28"/>
        <v>#VALUE!</v>
      </c>
      <c r="Y200" s="7" t="e">
        <f t="shared" si="29"/>
        <v>#VALUE!</v>
      </c>
      <c r="Z200" s="6" t="e">
        <f t="shared" si="24"/>
        <v>#VALUE!</v>
      </c>
      <c r="AA200" s="7" t="e">
        <f t="shared" si="25"/>
        <v>#VALUE!</v>
      </c>
      <c r="AB200" s="6" t="e">
        <f t="shared" si="30"/>
        <v>#VALUE!</v>
      </c>
      <c r="AC200" s="16" t="e">
        <f t="shared" si="31"/>
        <v>#VALUE!</v>
      </c>
      <c r="AD200" s="16" t="e">
        <f t="shared" si="26"/>
        <v>#VALUE!</v>
      </c>
      <c r="AE200" s="7" t="e">
        <f t="shared" si="27"/>
        <v>#VALUE!</v>
      </c>
    </row>
    <row r="201" spans="11:31" x14ac:dyDescent="0.35">
      <c r="K201">
        <v>201</v>
      </c>
      <c r="X201" s="6" t="e">
        <f t="shared" si="28"/>
        <v>#VALUE!</v>
      </c>
      <c r="Y201" s="7" t="e">
        <f t="shared" si="29"/>
        <v>#VALUE!</v>
      </c>
      <c r="Z201" s="6" t="e">
        <f t="shared" si="24"/>
        <v>#VALUE!</v>
      </c>
      <c r="AA201" s="7" t="e">
        <f t="shared" si="25"/>
        <v>#VALUE!</v>
      </c>
      <c r="AB201" s="6" t="e">
        <f t="shared" si="30"/>
        <v>#VALUE!</v>
      </c>
      <c r="AC201" s="16" t="e">
        <f t="shared" si="31"/>
        <v>#VALUE!</v>
      </c>
      <c r="AD201" s="16" t="e">
        <f t="shared" si="26"/>
        <v>#VALUE!</v>
      </c>
      <c r="AE201" s="7" t="e">
        <f t="shared" si="27"/>
        <v>#VALUE!</v>
      </c>
    </row>
    <row r="202" spans="11:31" x14ac:dyDescent="0.35">
      <c r="K202">
        <v>202</v>
      </c>
      <c r="X202" s="6" t="e">
        <f t="shared" si="28"/>
        <v>#VALUE!</v>
      </c>
      <c r="Y202" s="7" t="e">
        <f t="shared" si="29"/>
        <v>#VALUE!</v>
      </c>
      <c r="Z202" s="6" t="e">
        <f t="shared" si="24"/>
        <v>#VALUE!</v>
      </c>
      <c r="AA202" s="7" t="e">
        <f t="shared" si="25"/>
        <v>#VALUE!</v>
      </c>
      <c r="AB202" s="6" t="e">
        <f t="shared" si="30"/>
        <v>#VALUE!</v>
      </c>
      <c r="AC202" s="16" t="e">
        <f t="shared" si="31"/>
        <v>#VALUE!</v>
      </c>
      <c r="AD202" s="16" t="e">
        <f t="shared" si="26"/>
        <v>#VALUE!</v>
      </c>
      <c r="AE202" s="7" t="e">
        <f t="shared" si="27"/>
        <v>#VALUE!</v>
      </c>
    </row>
    <row r="203" spans="11:31" x14ac:dyDescent="0.35">
      <c r="K203">
        <v>203</v>
      </c>
      <c r="X203" s="6" t="e">
        <f t="shared" si="28"/>
        <v>#VALUE!</v>
      </c>
      <c r="Y203" s="7" t="e">
        <f t="shared" si="29"/>
        <v>#VALUE!</v>
      </c>
      <c r="Z203" s="6" t="e">
        <f t="shared" si="24"/>
        <v>#VALUE!</v>
      </c>
      <c r="AA203" s="7" t="e">
        <f t="shared" si="25"/>
        <v>#VALUE!</v>
      </c>
      <c r="AB203" s="6" t="e">
        <f t="shared" si="30"/>
        <v>#VALUE!</v>
      </c>
      <c r="AC203" s="16" t="e">
        <f t="shared" si="31"/>
        <v>#VALUE!</v>
      </c>
      <c r="AD203" s="16" t="e">
        <f t="shared" si="26"/>
        <v>#VALUE!</v>
      </c>
      <c r="AE203" s="7" t="e">
        <f t="shared" si="27"/>
        <v>#VALUE!</v>
      </c>
    </row>
    <row r="204" spans="11:31" x14ac:dyDescent="0.35">
      <c r="K204">
        <v>204</v>
      </c>
      <c r="X204" s="6" t="e">
        <f t="shared" si="28"/>
        <v>#VALUE!</v>
      </c>
      <c r="Y204" s="7" t="e">
        <f t="shared" si="29"/>
        <v>#VALUE!</v>
      </c>
      <c r="Z204" s="6" t="e">
        <f t="shared" si="24"/>
        <v>#VALUE!</v>
      </c>
      <c r="AA204" s="7" t="e">
        <f t="shared" si="25"/>
        <v>#VALUE!</v>
      </c>
      <c r="AB204" s="6" t="e">
        <f t="shared" si="30"/>
        <v>#VALUE!</v>
      </c>
      <c r="AC204" s="16" t="e">
        <f t="shared" si="31"/>
        <v>#VALUE!</v>
      </c>
      <c r="AD204" s="16" t="e">
        <f t="shared" si="26"/>
        <v>#VALUE!</v>
      </c>
      <c r="AE204" s="7" t="e">
        <f t="shared" si="27"/>
        <v>#VALUE!</v>
      </c>
    </row>
    <row r="205" spans="11:31" x14ac:dyDescent="0.35">
      <c r="K205">
        <v>205</v>
      </c>
      <c r="X205" s="6" t="e">
        <f t="shared" si="28"/>
        <v>#VALUE!</v>
      </c>
      <c r="Y205" s="7" t="e">
        <f t="shared" si="29"/>
        <v>#VALUE!</v>
      </c>
      <c r="Z205" s="6" t="e">
        <f t="shared" si="24"/>
        <v>#VALUE!</v>
      </c>
      <c r="AA205" s="7" t="e">
        <f t="shared" si="25"/>
        <v>#VALUE!</v>
      </c>
      <c r="AB205" s="6" t="e">
        <f t="shared" si="30"/>
        <v>#VALUE!</v>
      </c>
      <c r="AC205" s="16" t="e">
        <f t="shared" si="31"/>
        <v>#VALUE!</v>
      </c>
      <c r="AD205" s="16" t="e">
        <f t="shared" si="26"/>
        <v>#VALUE!</v>
      </c>
      <c r="AE205" s="7" t="e">
        <f t="shared" si="27"/>
        <v>#VALUE!</v>
      </c>
    </row>
    <row r="206" spans="11:31" x14ac:dyDescent="0.35">
      <c r="K206">
        <v>206</v>
      </c>
      <c r="X206" s="6" t="e">
        <f t="shared" si="28"/>
        <v>#VALUE!</v>
      </c>
      <c r="Y206" s="7" t="e">
        <f t="shared" si="29"/>
        <v>#VALUE!</v>
      </c>
      <c r="Z206" s="6" t="e">
        <f t="shared" si="24"/>
        <v>#VALUE!</v>
      </c>
      <c r="AA206" s="7" t="e">
        <f t="shared" si="25"/>
        <v>#VALUE!</v>
      </c>
      <c r="AB206" s="6" t="e">
        <f t="shared" si="30"/>
        <v>#VALUE!</v>
      </c>
      <c r="AC206" s="16" t="e">
        <f t="shared" si="31"/>
        <v>#VALUE!</v>
      </c>
      <c r="AD206" s="16" t="e">
        <f t="shared" si="26"/>
        <v>#VALUE!</v>
      </c>
      <c r="AE206" s="7" t="e">
        <f t="shared" si="27"/>
        <v>#VALUE!</v>
      </c>
    </row>
    <row r="207" spans="11:31" x14ac:dyDescent="0.35">
      <c r="K207">
        <v>207</v>
      </c>
      <c r="X207" s="6" t="e">
        <f t="shared" si="28"/>
        <v>#VALUE!</v>
      </c>
      <c r="Y207" s="7" t="e">
        <f t="shared" si="29"/>
        <v>#VALUE!</v>
      </c>
      <c r="Z207" s="6" t="e">
        <f t="shared" si="24"/>
        <v>#VALUE!</v>
      </c>
      <c r="AA207" s="7" t="e">
        <f t="shared" si="25"/>
        <v>#VALUE!</v>
      </c>
      <c r="AB207" s="6" t="e">
        <f t="shared" si="30"/>
        <v>#VALUE!</v>
      </c>
      <c r="AC207" s="16" t="e">
        <f t="shared" si="31"/>
        <v>#VALUE!</v>
      </c>
      <c r="AD207" s="16" t="e">
        <f t="shared" si="26"/>
        <v>#VALUE!</v>
      </c>
      <c r="AE207" s="7" t="e">
        <f t="shared" si="27"/>
        <v>#VALUE!</v>
      </c>
    </row>
    <row r="208" spans="11:31" x14ac:dyDescent="0.35">
      <c r="K208">
        <v>208</v>
      </c>
      <c r="X208" s="6" t="e">
        <f t="shared" si="28"/>
        <v>#VALUE!</v>
      </c>
      <c r="Y208" s="7" t="e">
        <f t="shared" si="29"/>
        <v>#VALUE!</v>
      </c>
      <c r="Z208" s="6" t="e">
        <f t="shared" si="24"/>
        <v>#VALUE!</v>
      </c>
      <c r="AA208" s="7" t="e">
        <f t="shared" si="25"/>
        <v>#VALUE!</v>
      </c>
      <c r="AB208" s="6" t="e">
        <f t="shared" si="30"/>
        <v>#VALUE!</v>
      </c>
      <c r="AC208" s="16" t="e">
        <f t="shared" si="31"/>
        <v>#VALUE!</v>
      </c>
      <c r="AD208" s="16" t="e">
        <f t="shared" si="26"/>
        <v>#VALUE!</v>
      </c>
      <c r="AE208" s="7" t="e">
        <f t="shared" si="27"/>
        <v>#VALUE!</v>
      </c>
    </row>
    <row r="209" spans="11:31" x14ac:dyDescent="0.35">
      <c r="K209">
        <v>209</v>
      </c>
      <c r="X209" s="6" t="e">
        <f t="shared" si="28"/>
        <v>#VALUE!</v>
      </c>
      <c r="Y209" s="7" t="e">
        <f t="shared" si="29"/>
        <v>#VALUE!</v>
      </c>
      <c r="Z209" s="6" t="e">
        <f t="shared" si="24"/>
        <v>#VALUE!</v>
      </c>
      <c r="AA209" s="7" t="e">
        <f t="shared" si="25"/>
        <v>#VALUE!</v>
      </c>
      <c r="AB209" s="6" t="e">
        <f t="shared" si="30"/>
        <v>#VALUE!</v>
      </c>
      <c r="AC209" s="16" t="e">
        <f t="shared" si="31"/>
        <v>#VALUE!</v>
      </c>
      <c r="AD209" s="16" t="e">
        <f t="shared" si="26"/>
        <v>#VALUE!</v>
      </c>
      <c r="AE209" s="7" t="e">
        <f t="shared" si="27"/>
        <v>#VALUE!</v>
      </c>
    </row>
    <row r="210" spans="11:31" x14ac:dyDescent="0.35">
      <c r="K210">
        <v>210</v>
      </c>
      <c r="X210" s="6" t="e">
        <f t="shared" si="28"/>
        <v>#VALUE!</v>
      </c>
      <c r="Y210" s="7" t="e">
        <f t="shared" si="29"/>
        <v>#VALUE!</v>
      </c>
      <c r="Z210" s="6" t="e">
        <f t="shared" si="24"/>
        <v>#VALUE!</v>
      </c>
      <c r="AA210" s="7" t="e">
        <f t="shared" si="25"/>
        <v>#VALUE!</v>
      </c>
      <c r="AB210" s="6" t="e">
        <f t="shared" si="30"/>
        <v>#VALUE!</v>
      </c>
      <c r="AC210" s="16" t="e">
        <f t="shared" si="31"/>
        <v>#VALUE!</v>
      </c>
      <c r="AD210" s="16" t="e">
        <f t="shared" si="26"/>
        <v>#VALUE!</v>
      </c>
      <c r="AE210" s="7" t="e">
        <f t="shared" si="27"/>
        <v>#VALUE!</v>
      </c>
    </row>
    <row r="211" spans="11:31" x14ac:dyDescent="0.35">
      <c r="K211">
        <v>211</v>
      </c>
      <c r="X211" s="6" t="e">
        <f t="shared" si="28"/>
        <v>#VALUE!</v>
      </c>
      <c r="Y211" s="7" t="e">
        <f t="shared" si="29"/>
        <v>#VALUE!</v>
      </c>
      <c r="Z211" s="6" t="e">
        <f t="shared" si="24"/>
        <v>#VALUE!</v>
      </c>
      <c r="AA211" s="7" t="e">
        <f t="shared" si="25"/>
        <v>#VALUE!</v>
      </c>
      <c r="AB211" s="6" t="e">
        <f t="shared" si="30"/>
        <v>#VALUE!</v>
      </c>
      <c r="AC211" s="16" t="e">
        <f t="shared" si="31"/>
        <v>#VALUE!</v>
      </c>
      <c r="AD211" s="16" t="e">
        <f t="shared" si="26"/>
        <v>#VALUE!</v>
      </c>
      <c r="AE211" s="7" t="e">
        <f t="shared" si="27"/>
        <v>#VALUE!</v>
      </c>
    </row>
    <row r="212" spans="11:31" x14ac:dyDescent="0.35">
      <c r="K212">
        <v>212</v>
      </c>
      <c r="X212" s="6" t="e">
        <f t="shared" si="28"/>
        <v>#VALUE!</v>
      </c>
      <c r="Y212" s="7" t="e">
        <f t="shared" si="29"/>
        <v>#VALUE!</v>
      </c>
      <c r="Z212" s="6" t="e">
        <f t="shared" si="24"/>
        <v>#VALUE!</v>
      </c>
      <c r="AA212" s="7" t="e">
        <f t="shared" si="25"/>
        <v>#VALUE!</v>
      </c>
      <c r="AB212" s="6" t="e">
        <f t="shared" si="30"/>
        <v>#VALUE!</v>
      </c>
      <c r="AC212" s="16" t="e">
        <f t="shared" si="31"/>
        <v>#VALUE!</v>
      </c>
      <c r="AD212" s="16" t="e">
        <f t="shared" si="26"/>
        <v>#VALUE!</v>
      </c>
      <c r="AE212" s="7" t="e">
        <f t="shared" si="27"/>
        <v>#VALUE!</v>
      </c>
    </row>
    <row r="213" spans="11:31" x14ac:dyDescent="0.35">
      <c r="K213">
        <v>213</v>
      </c>
      <c r="X213" s="6" t="e">
        <f t="shared" si="28"/>
        <v>#VALUE!</v>
      </c>
      <c r="Y213" s="7" t="e">
        <f t="shared" si="29"/>
        <v>#VALUE!</v>
      </c>
      <c r="Z213" s="6" t="e">
        <f t="shared" si="24"/>
        <v>#VALUE!</v>
      </c>
      <c r="AA213" s="7" t="e">
        <f t="shared" si="25"/>
        <v>#VALUE!</v>
      </c>
      <c r="AB213" s="6" t="e">
        <f t="shared" si="30"/>
        <v>#VALUE!</v>
      </c>
      <c r="AC213" s="16" t="e">
        <f t="shared" si="31"/>
        <v>#VALUE!</v>
      </c>
      <c r="AD213" s="16" t="e">
        <f t="shared" si="26"/>
        <v>#VALUE!</v>
      </c>
      <c r="AE213" s="7" t="e">
        <f t="shared" si="27"/>
        <v>#VALUE!</v>
      </c>
    </row>
    <row r="214" spans="11:31" x14ac:dyDescent="0.35">
      <c r="K214">
        <v>214</v>
      </c>
      <c r="X214" s="6" t="e">
        <f t="shared" si="28"/>
        <v>#VALUE!</v>
      </c>
      <c r="Y214" s="7" t="e">
        <f t="shared" si="29"/>
        <v>#VALUE!</v>
      </c>
      <c r="Z214" s="6" t="e">
        <f t="shared" si="24"/>
        <v>#VALUE!</v>
      </c>
      <c r="AA214" s="7" t="e">
        <f t="shared" si="25"/>
        <v>#VALUE!</v>
      </c>
      <c r="AB214" s="6" t="e">
        <f t="shared" si="30"/>
        <v>#VALUE!</v>
      </c>
      <c r="AC214" s="16" t="e">
        <f t="shared" si="31"/>
        <v>#VALUE!</v>
      </c>
      <c r="AD214" s="16" t="e">
        <f t="shared" si="26"/>
        <v>#VALUE!</v>
      </c>
      <c r="AE214" s="7" t="e">
        <f t="shared" si="27"/>
        <v>#VALUE!</v>
      </c>
    </row>
    <row r="215" spans="11:31" x14ac:dyDescent="0.35">
      <c r="K215">
        <v>215</v>
      </c>
      <c r="X215" s="6" t="e">
        <f t="shared" si="28"/>
        <v>#VALUE!</v>
      </c>
      <c r="Y215" s="7" t="e">
        <f t="shared" si="29"/>
        <v>#VALUE!</v>
      </c>
      <c r="Z215" s="6" t="e">
        <f t="shared" si="24"/>
        <v>#VALUE!</v>
      </c>
      <c r="AA215" s="7" t="e">
        <f t="shared" si="25"/>
        <v>#VALUE!</v>
      </c>
      <c r="AB215" s="6" t="e">
        <f t="shared" si="30"/>
        <v>#VALUE!</v>
      </c>
      <c r="AC215" s="16" t="e">
        <f t="shared" si="31"/>
        <v>#VALUE!</v>
      </c>
      <c r="AD215" s="16" t="e">
        <f t="shared" si="26"/>
        <v>#VALUE!</v>
      </c>
      <c r="AE215" s="7" t="e">
        <f t="shared" si="27"/>
        <v>#VALUE!</v>
      </c>
    </row>
    <row r="216" spans="11:31" x14ac:dyDescent="0.35">
      <c r="K216">
        <v>216</v>
      </c>
      <c r="X216" s="6" t="e">
        <f t="shared" si="28"/>
        <v>#VALUE!</v>
      </c>
      <c r="Y216" s="7" t="e">
        <f t="shared" si="29"/>
        <v>#VALUE!</v>
      </c>
      <c r="Z216" s="6" t="e">
        <f t="shared" si="24"/>
        <v>#VALUE!</v>
      </c>
      <c r="AA216" s="7" t="e">
        <f t="shared" si="25"/>
        <v>#VALUE!</v>
      </c>
      <c r="AB216" s="6" t="e">
        <f t="shared" si="30"/>
        <v>#VALUE!</v>
      </c>
      <c r="AC216" s="16" t="e">
        <f t="shared" si="31"/>
        <v>#VALUE!</v>
      </c>
      <c r="AD216" s="16" t="e">
        <f t="shared" si="26"/>
        <v>#VALUE!</v>
      </c>
      <c r="AE216" s="7" t="e">
        <f t="shared" si="27"/>
        <v>#VALUE!</v>
      </c>
    </row>
    <row r="217" spans="11:31" x14ac:dyDescent="0.35">
      <c r="K217">
        <v>217</v>
      </c>
      <c r="X217" s="6" t="e">
        <f t="shared" si="28"/>
        <v>#VALUE!</v>
      </c>
      <c r="Y217" s="7" t="e">
        <f t="shared" si="29"/>
        <v>#VALUE!</v>
      </c>
      <c r="Z217" s="6" t="e">
        <f t="shared" si="24"/>
        <v>#VALUE!</v>
      </c>
      <c r="AA217" s="7" t="e">
        <f t="shared" si="25"/>
        <v>#VALUE!</v>
      </c>
      <c r="AB217" s="6" t="e">
        <f t="shared" si="30"/>
        <v>#VALUE!</v>
      </c>
      <c r="AC217" s="16" t="e">
        <f t="shared" si="31"/>
        <v>#VALUE!</v>
      </c>
      <c r="AD217" s="16" t="e">
        <f t="shared" si="26"/>
        <v>#VALUE!</v>
      </c>
      <c r="AE217" s="7" t="e">
        <f t="shared" si="27"/>
        <v>#VALUE!</v>
      </c>
    </row>
    <row r="218" spans="11:31" x14ac:dyDescent="0.35">
      <c r="K218">
        <v>218</v>
      </c>
      <c r="X218" s="6" t="e">
        <f t="shared" si="28"/>
        <v>#VALUE!</v>
      </c>
      <c r="Y218" s="7" t="e">
        <f t="shared" si="29"/>
        <v>#VALUE!</v>
      </c>
      <c r="Z218" s="6" t="e">
        <f t="shared" si="24"/>
        <v>#VALUE!</v>
      </c>
      <c r="AA218" s="7" t="e">
        <f t="shared" si="25"/>
        <v>#VALUE!</v>
      </c>
      <c r="AB218" s="6" t="e">
        <f t="shared" si="30"/>
        <v>#VALUE!</v>
      </c>
      <c r="AC218" s="16" t="e">
        <f t="shared" si="31"/>
        <v>#VALUE!</v>
      </c>
      <c r="AD218" s="16" t="e">
        <f t="shared" si="26"/>
        <v>#VALUE!</v>
      </c>
      <c r="AE218" s="7" t="e">
        <f t="shared" si="27"/>
        <v>#VALUE!</v>
      </c>
    </row>
    <row r="219" spans="11:31" x14ac:dyDescent="0.35">
      <c r="K219">
        <v>219</v>
      </c>
      <c r="X219" s="6" t="e">
        <f t="shared" si="28"/>
        <v>#VALUE!</v>
      </c>
      <c r="Y219" s="7" t="e">
        <f t="shared" si="29"/>
        <v>#VALUE!</v>
      </c>
      <c r="Z219" s="6" t="e">
        <f t="shared" si="24"/>
        <v>#VALUE!</v>
      </c>
      <c r="AA219" s="7" t="e">
        <f t="shared" si="25"/>
        <v>#VALUE!</v>
      </c>
      <c r="AB219" s="6" t="e">
        <f t="shared" si="30"/>
        <v>#VALUE!</v>
      </c>
      <c r="AC219" s="16" t="e">
        <f t="shared" si="31"/>
        <v>#VALUE!</v>
      </c>
      <c r="AD219" s="16" t="e">
        <f t="shared" si="26"/>
        <v>#VALUE!</v>
      </c>
      <c r="AE219" s="7" t="e">
        <f t="shared" si="27"/>
        <v>#VALUE!</v>
      </c>
    </row>
    <row r="220" spans="11:31" x14ac:dyDescent="0.35">
      <c r="K220">
        <v>220</v>
      </c>
      <c r="X220" s="6" t="e">
        <f t="shared" si="28"/>
        <v>#VALUE!</v>
      </c>
      <c r="Y220" s="7" t="e">
        <f t="shared" si="29"/>
        <v>#VALUE!</v>
      </c>
      <c r="Z220" s="6" t="e">
        <f t="shared" si="24"/>
        <v>#VALUE!</v>
      </c>
      <c r="AA220" s="7" t="e">
        <f t="shared" si="25"/>
        <v>#VALUE!</v>
      </c>
      <c r="AB220" s="6" t="e">
        <f t="shared" si="30"/>
        <v>#VALUE!</v>
      </c>
      <c r="AC220" s="16" t="e">
        <f t="shared" si="31"/>
        <v>#VALUE!</v>
      </c>
      <c r="AD220" s="16" t="e">
        <f t="shared" si="26"/>
        <v>#VALUE!</v>
      </c>
      <c r="AE220" s="7" t="e">
        <f t="shared" si="27"/>
        <v>#VALUE!</v>
      </c>
    </row>
    <row r="221" spans="11:31" x14ac:dyDescent="0.35">
      <c r="K221">
        <v>221</v>
      </c>
      <c r="X221" s="6" t="e">
        <f t="shared" si="28"/>
        <v>#VALUE!</v>
      </c>
      <c r="Y221" s="7" t="e">
        <f t="shared" si="29"/>
        <v>#VALUE!</v>
      </c>
      <c r="Z221" s="6" t="e">
        <f t="shared" si="24"/>
        <v>#VALUE!</v>
      </c>
      <c r="AA221" s="7" t="e">
        <f t="shared" si="25"/>
        <v>#VALUE!</v>
      </c>
      <c r="AB221" s="6" t="e">
        <f t="shared" si="30"/>
        <v>#VALUE!</v>
      </c>
      <c r="AC221" s="16" t="e">
        <f t="shared" si="31"/>
        <v>#VALUE!</v>
      </c>
      <c r="AD221" s="16" t="e">
        <f t="shared" si="26"/>
        <v>#VALUE!</v>
      </c>
      <c r="AE221" s="7" t="e">
        <f t="shared" si="27"/>
        <v>#VALUE!</v>
      </c>
    </row>
    <row r="222" spans="11:31" x14ac:dyDescent="0.35">
      <c r="K222">
        <v>222</v>
      </c>
      <c r="X222" s="6" t="e">
        <f t="shared" si="28"/>
        <v>#VALUE!</v>
      </c>
      <c r="Y222" s="7" t="e">
        <f t="shared" si="29"/>
        <v>#VALUE!</v>
      </c>
      <c r="Z222" s="6" t="e">
        <f t="shared" si="24"/>
        <v>#VALUE!</v>
      </c>
      <c r="AA222" s="7" t="e">
        <f t="shared" si="25"/>
        <v>#VALUE!</v>
      </c>
      <c r="AB222" s="6" t="e">
        <f t="shared" si="30"/>
        <v>#VALUE!</v>
      </c>
      <c r="AC222" s="16" t="e">
        <f t="shared" si="31"/>
        <v>#VALUE!</v>
      </c>
      <c r="AD222" s="16" t="e">
        <f t="shared" si="26"/>
        <v>#VALUE!</v>
      </c>
      <c r="AE222" s="7" t="e">
        <f t="shared" si="27"/>
        <v>#VALUE!</v>
      </c>
    </row>
    <row r="223" spans="11:31" x14ac:dyDescent="0.35">
      <c r="K223">
        <v>223</v>
      </c>
      <c r="X223" s="6" t="e">
        <f t="shared" si="28"/>
        <v>#VALUE!</v>
      </c>
      <c r="Y223" s="7" t="e">
        <f t="shared" si="29"/>
        <v>#VALUE!</v>
      </c>
      <c r="Z223" s="6" t="e">
        <f t="shared" si="24"/>
        <v>#VALUE!</v>
      </c>
      <c r="AA223" s="7" t="e">
        <f t="shared" si="25"/>
        <v>#VALUE!</v>
      </c>
      <c r="AB223" s="6" t="e">
        <f t="shared" si="30"/>
        <v>#VALUE!</v>
      </c>
      <c r="AC223" s="16" t="e">
        <f t="shared" si="31"/>
        <v>#VALUE!</v>
      </c>
      <c r="AD223" s="16" t="e">
        <f t="shared" si="26"/>
        <v>#VALUE!</v>
      </c>
      <c r="AE223" s="7" t="e">
        <f t="shared" si="27"/>
        <v>#VALUE!</v>
      </c>
    </row>
    <row r="224" spans="11:31" x14ac:dyDescent="0.35">
      <c r="K224">
        <v>224</v>
      </c>
      <c r="X224" s="8" t="e">
        <f t="shared" si="28"/>
        <v>#VALUE!</v>
      </c>
      <c r="Y224" s="9" t="e">
        <f t="shared" si="29"/>
        <v>#VALUE!</v>
      </c>
      <c r="Z224" s="6" t="e">
        <f t="shared" si="24"/>
        <v>#VALUE!</v>
      </c>
      <c r="AA224" s="7" t="e">
        <f t="shared" si="25"/>
        <v>#VALUE!</v>
      </c>
      <c r="AB224" s="6" t="e">
        <f t="shared" si="30"/>
        <v>#VALUE!</v>
      </c>
      <c r="AC224" s="16" t="e">
        <f t="shared" si="31"/>
        <v>#VALUE!</v>
      </c>
      <c r="AD224" s="16" t="e">
        <f t="shared" si="26"/>
        <v>#VALUE!</v>
      </c>
      <c r="AE224" s="7" t="e">
        <f t="shared" si="27"/>
        <v>#VALUE!</v>
      </c>
    </row>
    <row r="225" spans="11:31" x14ac:dyDescent="0.35">
      <c r="K225">
        <v>225</v>
      </c>
      <c r="X225" s="6" t="e">
        <f t="shared" si="28"/>
        <v>#VALUE!</v>
      </c>
      <c r="Y225" s="7" t="e">
        <f t="shared" si="29"/>
        <v>#VALUE!</v>
      </c>
      <c r="Z225" s="6" t="e">
        <f t="shared" si="24"/>
        <v>#VALUE!</v>
      </c>
      <c r="AA225" s="7" t="e">
        <f t="shared" si="25"/>
        <v>#VALUE!</v>
      </c>
      <c r="AB225" s="6" t="e">
        <f t="shared" si="30"/>
        <v>#VALUE!</v>
      </c>
      <c r="AC225" s="16" t="e">
        <f t="shared" si="31"/>
        <v>#VALUE!</v>
      </c>
      <c r="AD225" s="16" t="e">
        <f t="shared" si="26"/>
        <v>#VALUE!</v>
      </c>
      <c r="AE225" s="7" t="e">
        <f t="shared" si="27"/>
        <v>#VALUE!</v>
      </c>
    </row>
    <row r="226" spans="11:31" x14ac:dyDescent="0.35">
      <c r="K226">
        <v>226</v>
      </c>
      <c r="X226" s="6" t="e">
        <f t="shared" si="28"/>
        <v>#VALUE!</v>
      </c>
      <c r="Y226" s="7" t="e">
        <f t="shared" si="29"/>
        <v>#VALUE!</v>
      </c>
      <c r="Z226" s="6" t="e">
        <f t="shared" si="24"/>
        <v>#VALUE!</v>
      </c>
      <c r="AA226" s="7" t="e">
        <f t="shared" si="25"/>
        <v>#VALUE!</v>
      </c>
      <c r="AB226" s="6" t="e">
        <f t="shared" si="30"/>
        <v>#VALUE!</v>
      </c>
      <c r="AC226" s="16" t="e">
        <f t="shared" si="31"/>
        <v>#VALUE!</v>
      </c>
      <c r="AD226" s="16" t="e">
        <f t="shared" si="26"/>
        <v>#VALUE!</v>
      </c>
      <c r="AE226" s="7" t="e">
        <f t="shared" si="27"/>
        <v>#VALUE!</v>
      </c>
    </row>
    <row r="227" spans="11:31" x14ac:dyDescent="0.35">
      <c r="K227">
        <v>227</v>
      </c>
      <c r="X227" s="6" t="e">
        <f t="shared" si="28"/>
        <v>#VALUE!</v>
      </c>
      <c r="Y227" s="7" t="e">
        <f t="shared" si="29"/>
        <v>#VALUE!</v>
      </c>
      <c r="Z227" s="6" t="e">
        <f t="shared" si="24"/>
        <v>#VALUE!</v>
      </c>
      <c r="AA227" s="7" t="e">
        <f t="shared" si="25"/>
        <v>#VALUE!</v>
      </c>
      <c r="AB227" s="6" t="e">
        <f t="shared" si="30"/>
        <v>#VALUE!</v>
      </c>
      <c r="AC227" s="16" t="e">
        <f t="shared" si="31"/>
        <v>#VALUE!</v>
      </c>
      <c r="AD227" s="16" t="e">
        <f t="shared" si="26"/>
        <v>#VALUE!</v>
      </c>
      <c r="AE227" s="7" t="e">
        <f t="shared" si="27"/>
        <v>#VALUE!</v>
      </c>
    </row>
    <row r="228" spans="11:31" x14ac:dyDescent="0.35">
      <c r="K228">
        <v>228</v>
      </c>
      <c r="X228" s="6" t="e">
        <f t="shared" si="28"/>
        <v>#VALUE!</v>
      </c>
      <c r="Y228" s="7" t="e">
        <f t="shared" si="29"/>
        <v>#VALUE!</v>
      </c>
      <c r="Z228" s="6" t="e">
        <f t="shared" si="24"/>
        <v>#VALUE!</v>
      </c>
      <c r="AA228" s="7" t="e">
        <f t="shared" si="25"/>
        <v>#VALUE!</v>
      </c>
      <c r="AB228" s="6" t="e">
        <f t="shared" si="30"/>
        <v>#VALUE!</v>
      </c>
      <c r="AC228" s="16" t="e">
        <f t="shared" si="31"/>
        <v>#VALUE!</v>
      </c>
      <c r="AD228" s="16" t="e">
        <f t="shared" si="26"/>
        <v>#VALUE!</v>
      </c>
      <c r="AE228" s="7" t="e">
        <f t="shared" si="27"/>
        <v>#VALUE!</v>
      </c>
    </row>
    <row r="229" spans="11:31" x14ac:dyDescent="0.35">
      <c r="K229">
        <v>229</v>
      </c>
      <c r="X229" s="6" t="e">
        <f t="shared" si="28"/>
        <v>#VALUE!</v>
      </c>
      <c r="Y229" s="7" t="e">
        <f t="shared" si="29"/>
        <v>#VALUE!</v>
      </c>
      <c r="Z229" s="6" t="e">
        <f t="shared" si="24"/>
        <v>#VALUE!</v>
      </c>
      <c r="AA229" s="7" t="e">
        <f t="shared" si="25"/>
        <v>#VALUE!</v>
      </c>
      <c r="AB229" s="6" t="e">
        <f t="shared" si="30"/>
        <v>#VALUE!</v>
      </c>
      <c r="AC229" s="16" t="e">
        <f t="shared" si="31"/>
        <v>#VALUE!</v>
      </c>
      <c r="AD229" s="16" t="e">
        <f t="shared" si="26"/>
        <v>#VALUE!</v>
      </c>
      <c r="AE229" s="7" t="e">
        <f t="shared" si="27"/>
        <v>#VALUE!</v>
      </c>
    </row>
    <row r="230" spans="11:31" x14ac:dyDescent="0.35">
      <c r="K230">
        <v>230</v>
      </c>
      <c r="X230" s="6" t="e">
        <f t="shared" si="28"/>
        <v>#VALUE!</v>
      </c>
      <c r="Y230" s="7" t="e">
        <f t="shared" si="29"/>
        <v>#VALUE!</v>
      </c>
      <c r="Z230" s="6" t="e">
        <f t="shared" si="24"/>
        <v>#VALUE!</v>
      </c>
      <c r="AA230" s="7" t="e">
        <f t="shared" si="25"/>
        <v>#VALUE!</v>
      </c>
      <c r="AB230" s="6" t="e">
        <f t="shared" si="30"/>
        <v>#VALUE!</v>
      </c>
      <c r="AC230" s="16" t="e">
        <f t="shared" si="31"/>
        <v>#VALUE!</v>
      </c>
      <c r="AD230" s="16" t="e">
        <f t="shared" si="26"/>
        <v>#VALUE!</v>
      </c>
      <c r="AE230" s="7" t="e">
        <f t="shared" si="27"/>
        <v>#VALUE!</v>
      </c>
    </row>
    <row r="231" spans="11:31" x14ac:dyDescent="0.35">
      <c r="K231">
        <v>231</v>
      </c>
      <c r="X231" s="6" t="e">
        <f t="shared" si="28"/>
        <v>#VALUE!</v>
      </c>
      <c r="Y231" s="7" t="e">
        <f t="shared" si="29"/>
        <v>#VALUE!</v>
      </c>
      <c r="Z231" s="6" t="e">
        <f t="shared" si="24"/>
        <v>#VALUE!</v>
      </c>
      <c r="AA231" s="7" t="e">
        <f t="shared" si="25"/>
        <v>#VALUE!</v>
      </c>
      <c r="AB231" s="6" t="e">
        <f t="shared" si="30"/>
        <v>#VALUE!</v>
      </c>
      <c r="AC231" s="16" t="e">
        <f t="shared" si="31"/>
        <v>#VALUE!</v>
      </c>
      <c r="AD231" s="16" t="e">
        <f t="shared" si="26"/>
        <v>#VALUE!</v>
      </c>
      <c r="AE231" s="7" t="e">
        <f t="shared" si="27"/>
        <v>#VALUE!</v>
      </c>
    </row>
    <row r="232" spans="11:31" x14ac:dyDescent="0.35">
      <c r="K232">
        <v>232</v>
      </c>
      <c r="X232" s="6" t="e">
        <f t="shared" si="28"/>
        <v>#VALUE!</v>
      </c>
      <c r="Y232" s="7" t="e">
        <f t="shared" si="29"/>
        <v>#VALUE!</v>
      </c>
      <c r="Z232" s="6" t="e">
        <f t="shared" si="24"/>
        <v>#VALUE!</v>
      </c>
      <c r="AA232" s="7" t="e">
        <f t="shared" si="25"/>
        <v>#VALUE!</v>
      </c>
      <c r="AB232" s="6" t="e">
        <f t="shared" si="30"/>
        <v>#VALUE!</v>
      </c>
      <c r="AC232" s="16" t="e">
        <f t="shared" si="31"/>
        <v>#VALUE!</v>
      </c>
      <c r="AD232" s="16" t="e">
        <f t="shared" si="26"/>
        <v>#VALUE!</v>
      </c>
      <c r="AE232" s="7" t="e">
        <f t="shared" si="27"/>
        <v>#VALUE!</v>
      </c>
    </row>
    <row r="233" spans="11:31" x14ac:dyDescent="0.35">
      <c r="K233">
        <v>233</v>
      </c>
      <c r="X233" s="6" t="e">
        <f t="shared" si="28"/>
        <v>#VALUE!</v>
      </c>
      <c r="Y233" s="7" t="e">
        <f t="shared" si="29"/>
        <v>#VALUE!</v>
      </c>
      <c r="Z233" s="6" t="e">
        <f t="shared" si="24"/>
        <v>#VALUE!</v>
      </c>
      <c r="AA233" s="7" t="e">
        <f t="shared" si="25"/>
        <v>#VALUE!</v>
      </c>
      <c r="AB233" s="6" t="e">
        <f t="shared" si="30"/>
        <v>#VALUE!</v>
      </c>
      <c r="AC233" s="16" t="e">
        <f t="shared" si="31"/>
        <v>#VALUE!</v>
      </c>
      <c r="AD233" s="16" t="e">
        <f t="shared" si="26"/>
        <v>#VALUE!</v>
      </c>
      <c r="AE233" s="7" t="e">
        <f t="shared" si="27"/>
        <v>#VALUE!</v>
      </c>
    </row>
    <row r="234" spans="11:31" x14ac:dyDescent="0.35">
      <c r="K234">
        <v>234</v>
      </c>
      <c r="X234" s="6" t="e">
        <f t="shared" si="28"/>
        <v>#VALUE!</v>
      </c>
      <c r="Y234" s="7" t="e">
        <f t="shared" si="29"/>
        <v>#VALUE!</v>
      </c>
      <c r="Z234" s="6" t="e">
        <f t="shared" si="24"/>
        <v>#VALUE!</v>
      </c>
      <c r="AA234" s="7" t="e">
        <f t="shared" si="25"/>
        <v>#VALUE!</v>
      </c>
      <c r="AB234" s="6" t="e">
        <f t="shared" si="30"/>
        <v>#VALUE!</v>
      </c>
      <c r="AC234" s="16" t="e">
        <f t="shared" si="31"/>
        <v>#VALUE!</v>
      </c>
      <c r="AD234" s="16" t="e">
        <f t="shared" si="26"/>
        <v>#VALUE!</v>
      </c>
      <c r="AE234" s="7" t="e">
        <f t="shared" si="27"/>
        <v>#VALUE!</v>
      </c>
    </row>
    <row r="235" spans="11:31" x14ac:dyDescent="0.35">
      <c r="K235">
        <v>235</v>
      </c>
      <c r="X235" s="6" t="e">
        <f t="shared" si="28"/>
        <v>#VALUE!</v>
      </c>
      <c r="Y235" s="7" t="e">
        <f t="shared" si="29"/>
        <v>#VALUE!</v>
      </c>
      <c r="Z235" s="6" t="e">
        <f t="shared" si="24"/>
        <v>#VALUE!</v>
      </c>
      <c r="AA235" s="7" t="e">
        <f t="shared" si="25"/>
        <v>#VALUE!</v>
      </c>
      <c r="AB235" s="6" t="e">
        <f t="shared" si="30"/>
        <v>#VALUE!</v>
      </c>
      <c r="AC235" s="16" t="e">
        <f t="shared" si="31"/>
        <v>#VALUE!</v>
      </c>
      <c r="AD235" s="16" t="e">
        <f t="shared" si="26"/>
        <v>#VALUE!</v>
      </c>
      <c r="AE235" s="7" t="e">
        <f t="shared" si="27"/>
        <v>#VALUE!</v>
      </c>
    </row>
    <row r="236" spans="11:31" x14ac:dyDescent="0.35">
      <c r="K236">
        <v>236</v>
      </c>
      <c r="X236" s="6" t="e">
        <f t="shared" si="28"/>
        <v>#VALUE!</v>
      </c>
      <c r="Y236" s="7" t="e">
        <f t="shared" si="29"/>
        <v>#VALUE!</v>
      </c>
      <c r="Z236" s="6" t="e">
        <f t="shared" si="24"/>
        <v>#VALUE!</v>
      </c>
      <c r="AA236" s="7" t="e">
        <f t="shared" si="25"/>
        <v>#VALUE!</v>
      </c>
      <c r="AB236" s="6" t="e">
        <f t="shared" si="30"/>
        <v>#VALUE!</v>
      </c>
      <c r="AC236" s="16" t="e">
        <f t="shared" si="31"/>
        <v>#VALUE!</v>
      </c>
      <c r="AD236" s="16" t="e">
        <f t="shared" si="26"/>
        <v>#VALUE!</v>
      </c>
      <c r="AE236" s="7" t="e">
        <f t="shared" si="27"/>
        <v>#VALUE!</v>
      </c>
    </row>
    <row r="237" spans="11:31" x14ac:dyDescent="0.35">
      <c r="K237">
        <v>237</v>
      </c>
      <c r="X237" s="6" t="e">
        <f t="shared" si="28"/>
        <v>#VALUE!</v>
      </c>
      <c r="Y237" s="7" t="e">
        <f t="shared" si="29"/>
        <v>#VALUE!</v>
      </c>
      <c r="Z237" s="6" t="e">
        <f t="shared" si="24"/>
        <v>#VALUE!</v>
      </c>
      <c r="AA237" s="7" t="e">
        <f t="shared" si="25"/>
        <v>#VALUE!</v>
      </c>
      <c r="AB237" s="6" t="e">
        <f t="shared" si="30"/>
        <v>#VALUE!</v>
      </c>
      <c r="AC237" s="16" t="e">
        <f t="shared" si="31"/>
        <v>#VALUE!</v>
      </c>
      <c r="AD237" s="16" t="e">
        <f t="shared" si="26"/>
        <v>#VALUE!</v>
      </c>
      <c r="AE237" s="7" t="e">
        <f t="shared" si="27"/>
        <v>#VALUE!</v>
      </c>
    </row>
    <row r="238" spans="11:31" x14ac:dyDescent="0.35">
      <c r="K238">
        <v>238</v>
      </c>
      <c r="X238" s="6" t="e">
        <f t="shared" si="28"/>
        <v>#VALUE!</v>
      </c>
      <c r="Y238" s="7" t="e">
        <f t="shared" si="29"/>
        <v>#VALUE!</v>
      </c>
      <c r="Z238" s="6" t="e">
        <f t="shared" si="24"/>
        <v>#VALUE!</v>
      </c>
      <c r="AA238" s="7" t="e">
        <f t="shared" si="25"/>
        <v>#VALUE!</v>
      </c>
      <c r="AB238" s="6" t="e">
        <f t="shared" si="30"/>
        <v>#VALUE!</v>
      </c>
      <c r="AC238" s="16" t="e">
        <f t="shared" si="31"/>
        <v>#VALUE!</v>
      </c>
      <c r="AD238" s="16" t="e">
        <f t="shared" si="26"/>
        <v>#VALUE!</v>
      </c>
      <c r="AE238" s="7" t="e">
        <f t="shared" si="27"/>
        <v>#VALUE!</v>
      </c>
    </row>
    <row r="239" spans="11:31" x14ac:dyDescent="0.35">
      <c r="K239">
        <v>239</v>
      </c>
      <c r="X239" s="6" t="e">
        <f t="shared" si="28"/>
        <v>#VALUE!</v>
      </c>
      <c r="Y239" s="7" t="e">
        <f t="shared" si="29"/>
        <v>#VALUE!</v>
      </c>
      <c r="Z239" s="6" t="e">
        <f t="shared" si="24"/>
        <v>#VALUE!</v>
      </c>
      <c r="AA239" s="7" t="e">
        <f t="shared" si="25"/>
        <v>#VALUE!</v>
      </c>
      <c r="AB239" s="6" t="e">
        <f t="shared" si="30"/>
        <v>#VALUE!</v>
      </c>
      <c r="AC239" s="16" t="e">
        <f t="shared" si="31"/>
        <v>#VALUE!</v>
      </c>
      <c r="AD239" s="16" t="e">
        <f t="shared" si="26"/>
        <v>#VALUE!</v>
      </c>
      <c r="AE239" s="7" t="e">
        <f t="shared" si="27"/>
        <v>#VALUE!</v>
      </c>
    </row>
    <row r="240" spans="11:31" x14ac:dyDescent="0.35">
      <c r="K240">
        <v>240</v>
      </c>
      <c r="X240" s="6" t="e">
        <f t="shared" si="28"/>
        <v>#VALUE!</v>
      </c>
      <c r="Y240" s="7" t="e">
        <f t="shared" si="29"/>
        <v>#VALUE!</v>
      </c>
      <c r="Z240" s="6" t="e">
        <f t="shared" si="24"/>
        <v>#VALUE!</v>
      </c>
      <c r="AA240" s="7" t="e">
        <f t="shared" si="25"/>
        <v>#VALUE!</v>
      </c>
      <c r="AB240" s="6" t="e">
        <f t="shared" si="30"/>
        <v>#VALUE!</v>
      </c>
      <c r="AC240" s="16" t="e">
        <f t="shared" si="31"/>
        <v>#VALUE!</v>
      </c>
      <c r="AD240" s="16" t="e">
        <f t="shared" si="26"/>
        <v>#VALUE!</v>
      </c>
      <c r="AE240" s="7" t="e">
        <f t="shared" si="27"/>
        <v>#VALUE!</v>
      </c>
    </row>
    <row r="241" spans="11:31" x14ac:dyDescent="0.35">
      <c r="K241">
        <v>241</v>
      </c>
      <c r="X241" s="6" t="e">
        <f t="shared" si="28"/>
        <v>#VALUE!</v>
      </c>
      <c r="Y241" s="7" t="e">
        <f t="shared" si="29"/>
        <v>#VALUE!</v>
      </c>
      <c r="Z241" s="6" t="e">
        <f t="shared" si="24"/>
        <v>#VALUE!</v>
      </c>
      <c r="AA241" s="7" t="e">
        <f t="shared" si="25"/>
        <v>#VALUE!</v>
      </c>
      <c r="AB241" s="6" t="e">
        <f t="shared" si="30"/>
        <v>#VALUE!</v>
      </c>
      <c r="AC241" s="16" t="e">
        <f t="shared" si="31"/>
        <v>#VALUE!</v>
      </c>
      <c r="AD241" s="16" t="e">
        <f t="shared" si="26"/>
        <v>#VALUE!</v>
      </c>
      <c r="AE241" s="7" t="e">
        <f t="shared" si="27"/>
        <v>#VALUE!</v>
      </c>
    </row>
    <row r="242" spans="11:31" x14ac:dyDescent="0.35">
      <c r="K242">
        <v>242</v>
      </c>
      <c r="X242" s="6" t="e">
        <f t="shared" si="28"/>
        <v>#VALUE!</v>
      </c>
      <c r="Y242" s="7" t="e">
        <f t="shared" si="29"/>
        <v>#VALUE!</v>
      </c>
      <c r="Z242" s="6" t="e">
        <f t="shared" si="24"/>
        <v>#VALUE!</v>
      </c>
      <c r="AA242" s="7" t="e">
        <f t="shared" si="25"/>
        <v>#VALUE!</v>
      </c>
      <c r="AB242" s="6" t="e">
        <f t="shared" si="30"/>
        <v>#VALUE!</v>
      </c>
      <c r="AC242" s="16" t="e">
        <f t="shared" si="31"/>
        <v>#VALUE!</v>
      </c>
      <c r="AD242" s="16" t="e">
        <f t="shared" si="26"/>
        <v>#VALUE!</v>
      </c>
      <c r="AE242" s="7" t="e">
        <f t="shared" si="27"/>
        <v>#VALUE!</v>
      </c>
    </row>
    <row r="243" spans="11:31" x14ac:dyDescent="0.35">
      <c r="K243">
        <v>243</v>
      </c>
      <c r="X243" s="6" t="e">
        <f t="shared" si="28"/>
        <v>#VALUE!</v>
      </c>
      <c r="Y243" s="7" t="e">
        <f t="shared" si="29"/>
        <v>#VALUE!</v>
      </c>
      <c r="Z243" s="6" t="e">
        <f t="shared" si="24"/>
        <v>#VALUE!</v>
      </c>
      <c r="AA243" s="7" t="e">
        <f t="shared" si="25"/>
        <v>#VALUE!</v>
      </c>
      <c r="AB243" s="6" t="e">
        <f t="shared" si="30"/>
        <v>#VALUE!</v>
      </c>
      <c r="AC243" s="16" t="e">
        <f t="shared" si="31"/>
        <v>#VALUE!</v>
      </c>
      <c r="AD243" s="16" t="e">
        <f t="shared" si="26"/>
        <v>#VALUE!</v>
      </c>
      <c r="AE243" s="7" t="e">
        <f t="shared" si="27"/>
        <v>#VALUE!</v>
      </c>
    </row>
    <row r="244" spans="11:31" x14ac:dyDescent="0.35">
      <c r="K244">
        <v>244</v>
      </c>
      <c r="X244" s="6" t="e">
        <f t="shared" si="28"/>
        <v>#VALUE!</v>
      </c>
      <c r="Y244" s="7" t="e">
        <f t="shared" si="29"/>
        <v>#VALUE!</v>
      </c>
      <c r="Z244" s="6" t="e">
        <f t="shared" si="24"/>
        <v>#VALUE!</v>
      </c>
      <c r="AA244" s="7" t="e">
        <f t="shared" si="25"/>
        <v>#VALUE!</v>
      </c>
      <c r="AB244" s="6" t="e">
        <f t="shared" si="30"/>
        <v>#VALUE!</v>
      </c>
      <c r="AC244" s="16" t="e">
        <f t="shared" si="31"/>
        <v>#VALUE!</v>
      </c>
      <c r="AD244" s="16" t="e">
        <f t="shared" si="26"/>
        <v>#VALUE!</v>
      </c>
      <c r="AE244" s="7" t="e">
        <f t="shared" si="27"/>
        <v>#VALUE!</v>
      </c>
    </row>
    <row r="245" spans="11:31" x14ac:dyDescent="0.35">
      <c r="K245">
        <v>245</v>
      </c>
      <c r="X245" s="6" t="e">
        <f t="shared" si="28"/>
        <v>#VALUE!</v>
      </c>
      <c r="Y245" s="7" t="e">
        <f t="shared" si="29"/>
        <v>#VALUE!</v>
      </c>
      <c r="Z245" s="6" t="e">
        <f t="shared" si="24"/>
        <v>#VALUE!</v>
      </c>
      <c r="AA245" s="7" t="e">
        <f t="shared" si="25"/>
        <v>#VALUE!</v>
      </c>
      <c r="AB245" s="6" t="e">
        <f t="shared" si="30"/>
        <v>#VALUE!</v>
      </c>
      <c r="AC245" s="16" t="e">
        <f t="shared" si="31"/>
        <v>#VALUE!</v>
      </c>
      <c r="AD245" s="16" t="e">
        <f t="shared" si="26"/>
        <v>#VALUE!</v>
      </c>
      <c r="AE245" s="7" t="e">
        <f t="shared" si="27"/>
        <v>#VALUE!</v>
      </c>
    </row>
    <row r="246" spans="11:31" x14ac:dyDescent="0.35">
      <c r="K246">
        <v>246</v>
      </c>
      <c r="X246" s="6" t="e">
        <f t="shared" si="28"/>
        <v>#VALUE!</v>
      </c>
      <c r="Y246" s="7" t="e">
        <f t="shared" si="29"/>
        <v>#VALUE!</v>
      </c>
      <c r="Z246" s="6" t="e">
        <f t="shared" si="24"/>
        <v>#VALUE!</v>
      </c>
      <c r="AA246" s="7" t="e">
        <f t="shared" si="25"/>
        <v>#VALUE!</v>
      </c>
      <c r="AB246" s="6" t="e">
        <f t="shared" si="30"/>
        <v>#VALUE!</v>
      </c>
      <c r="AC246" s="16" t="e">
        <f t="shared" si="31"/>
        <v>#VALUE!</v>
      </c>
      <c r="AD246" s="16" t="e">
        <f t="shared" si="26"/>
        <v>#VALUE!</v>
      </c>
      <c r="AE246" s="7" t="e">
        <f t="shared" si="27"/>
        <v>#VALUE!</v>
      </c>
    </row>
    <row r="247" spans="11:31" x14ac:dyDescent="0.35">
      <c r="K247">
        <v>247</v>
      </c>
      <c r="X247" s="6" t="e">
        <f t="shared" si="28"/>
        <v>#VALUE!</v>
      </c>
      <c r="Y247" s="7" t="e">
        <f t="shared" si="29"/>
        <v>#VALUE!</v>
      </c>
      <c r="Z247" s="6" t="e">
        <f t="shared" si="24"/>
        <v>#VALUE!</v>
      </c>
      <c r="AA247" s="7" t="e">
        <f t="shared" si="25"/>
        <v>#VALUE!</v>
      </c>
      <c r="AB247" s="6" t="e">
        <f t="shared" si="30"/>
        <v>#VALUE!</v>
      </c>
      <c r="AC247" s="16" t="e">
        <f t="shared" si="31"/>
        <v>#VALUE!</v>
      </c>
      <c r="AD247" s="16" t="e">
        <f t="shared" si="26"/>
        <v>#VALUE!</v>
      </c>
      <c r="AE247" s="7" t="e">
        <f t="shared" si="27"/>
        <v>#VALUE!</v>
      </c>
    </row>
    <row r="248" spans="11:31" x14ac:dyDescent="0.35">
      <c r="K248">
        <v>248</v>
      </c>
      <c r="X248" s="6" t="e">
        <f t="shared" si="28"/>
        <v>#VALUE!</v>
      </c>
      <c r="Y248" s="7" t="e">
        <f t="shared" si="29"/>
        <v>#VALUE!</v>
      </c>
      <c r="Z248" s="6" t="e">
        <f t="shared" si="24"/>
        <v>#VALUE!</v>
      </c>
      <c r="AA248" s="7" t="e">
        <f t="shared" si="25"/>
        <v>#VALUE!</v>
      </c>
      <c r="AB248" s="6" t="e">
        <f t="shared" si="30"/>
        <v>#VALUE!</v>
      </c>
      <c r="AC248" s="16" t="e">
        <f t="shared" si="31"/>
        <v>#VALUE!</v>
      </c>
      <c r="AD248" s="16" t="e">
        <f t="shared" si="26"/>
        <v>#VALUE!</v>
      </c>
      <c r="AE248" s="7" t="e">
        <f t="shared" si="27"/>
        <v>#VALUE!</v>
      </c>
    </row>
    <row r="249" spans="11:31" x14ac:dyDescent="0.35">
      <c r="K249">
        <v>249</v>
      </c>
      <c r="X249" s="6" t="e">
        <f t="shared" si="28"/>
        <v>#VALUE!</v>
      </c>
      <c r="Y249" s="7" t="e">
        <f t="shared" si="29"/>
        <v>#VALUE!</v>
      </c>
      <c r="Z249" s="6" t="e">
        <f t="shared" si="24"/>
        <v>#VALUE!</v>
      </c>
      <c r="AA249" s="7" t="e">
        <f t="shared" si="25"/>
        <v>#VALUE!</v>
      </c>
      <c r="AB249" s="6" t="e">
        <f t="shared" si="30"/>
        <v>#VALUE!</v>
      </c>
      <c r="AC249" s="16" t="e">
        <f t="shared" si="31"/>
        <v>#VALUE!</v>
      </c>
      <c r="AD249" s="16" t="e">
        <f t="shared" si="26"/>
        <v>#VALUE!</v>
      </c>
      <c r="AE249" s="7" t="e">
        <f t="shared" si="27"/>
        <v>#VALUE!</v>
      </c>
    </row>
    <row r="250" spans="11:31" x14ac:dyDescent="0.35">
      <c r="K250">
        <v>250</v>
      </c>
      <c r="X250" s="6" t="e">
        <f t="shared" si="28"/>
        <v>#VALUE!</v>
      </c>
      <c r="Y250" s="7" t="e">
        <f t="shared" si="29"/>
        <v>#VALUE!</v>
      </c>
      <c r="Z250" s="6" t="e">
        <f t="shared" si="24"/>
        <v>#VALUE!</v>
      </c>
      <c r="AA250" s="7" t="e">
        <f t="shared" si="25"/>
        <v>#VALUE!</v>
      </c>
      <c r="AB250" s="6" t="e">
        <f t="shared" si="30"/>
        <v>#VALUE!</v>
      </c>
      <c r="AC250" s="16" t="e">
        <f t="shared" si="31"/>
        <v>#VALUE!</v>
      </c>
      <c r="AD250" s="16" t="e">
        <f t="shared" si="26"/>
        <v>#VALUE!</v>
      </c>
      <c r="AE250" s="7" t="e">
        <f t="shared" si="27"/>
        <v>#VALUE!</v>
      </c>
    </row>
    <row r="251" spans="11:31" x14ac:dyDescent="0.35">
      <c r="K251">
        <v>251</v>
      </c>
      <c r="X251" s="6" t="e">
        <f t="shared" si="28"/>
        <v>#VALUE!</v>
      </c>
      <c r="Y251" s="7" t="e">
        <f t="shared" si="29"/>
        <v>#VALUE!</v>
      </c>
      <c r="Z251" s="6" t="e">
        <f t="shared" si="24"/>
        <v>#VALUE!</v>
      </c>
      <c r="AA251" s="7" t="e">
        <f t="shared" si="25"/>
        <v>#VALUE!</v>
      </c>
      <c r="AB251" s="6" t="e">
        <f t="shared" si="30"/>
        <v>#VALUE!</v>
      </c>
      <c r="AC251" s="16" t="e">
        <f t="shared" si="31"/>
        <v>#VALUE!</v>
      </c>
      <c r="AD251" s="16" t="e">
        <f t="shared" si="26"/>
        <v>#VALUE!</v>
      </c>
      <c r="AE251" s="7" t="e">
        <f t="shared" si="27"/>
        <v>#VALUE!</v>
      </c>
    </row>
    <row r="252" spans="11:31" x14ac:dyDescent="0.35">
      <c r="K252">
        <v>252</v>
      </c>
      <c r="X252" s="6" t="e">
        <f t="shared" si="28"/>
        <v>#VALUE!</v>
      </c>
      <c r="Y252" s="7" t="e">
        <f t="shared" si="29"/>
        <v>#VALUE!</v>
      </c>
      <c r="Z252" s="6" t="e">
        <f t="shared" si="24"/>
        <v>#VALUE!</v>
      </c>
      <c r="AA252" s="7" t="e">
        <f t="shared" si="25"/>
        <v>#VALUE!</v>
      </c>
      <c r="AB252" s="6" t="e">
        <f t="shared" si="30"/>
        <v>#VALUE!</v>
      </c>
      <c r="AC252" s="16" t="e">
        <f t="shared" si="31"/>
        <v>#VALUE!</v>
      </c>
      <c r="AD252" s="16" t="e">
        <f t="shared" si="26"/>
        <v>#VALUE!</v>
      </c>
      <c r="AE252" s="7" t="e">
        <f t="shared" si="27"/>
        <v>#VALUE!</v>
      </c>
    </row>
    <row r="253" spans="11:31" x14ac:dyDescent="0.35">
      <c r="K253">
        <v>253</v>
      </c>
      <c r="X253" s="6" t="e">
        <f t="shared" si="28"/>
        <v>#VALUE!</v>
      </c>
      <c r="Y253" s="7" t="e">
        <f t="shared" si="29"/>
        <v>#VALUE!</v>
      </c>
      <c r="Z253" s="6" t="e">
        <f t="shared" si="24"/>
        <v>#VALUE!</v>
      </c>
      <c r="AA253" s="7" t="e">
        <f t="shared" si="25"/>
        <v>#VALUE!</v>
      </c>
      <c r="AB253" s="6" t="e">
        <f t="shared" si="30"/>
        <v>#VALUE!</v>
      </c>
      <c r="AC253" s="16" t="e">
        <f t="shared" si="31"/>
        <v>#VALUE!</v>
      </c>
      <c r="AD253" s="16" t="e">
        <f t="shared" si="26"/>
        <v>#VALUE!</v>
      </c>
      <c r="AE253" s="7" t="e">
        <f t="shared" si="27"/>
        <v>#VALUE!</v>
      </c>
    </row>
    <row r="254" spans="11:31" x14ac:dyDescent="0.35">
      <c r="K254">
        <v>254</v>
      </c>
      <c r="X254" s="6" t="e">
        <f t="shared" si="28"/>
        <v>#VALUE!</v>
      </c>
      <c r="Y254" s="7" t="e">
        <f t="shared" si="29"/>
        <v>#VALUE!</v>
      </c>
      <c r="Z254" s="6" t="e">
        <f t="shared" si="24"/>
        <v>#VALUE!</v>
      </c>
      <c r="AA254" s="7" t="e">
        <f t="shared" si="25"/>
        <v>#VALUE!</v>
      </c>
      <c r="AB254" s="6" t="e">
        <f t="shared" si="30"/>
        <v>#VALUE!</v>
      </c>
      <c r="AC254" s="16" t="e">
        <f t="shared" si="31"/>
        <v>#VALUE!</v>
      </c>
      <c r="AD254" s="16" t="e">
        <f t="shared" si="26"/>
        <v>#VALUE!</v>
      </c>
      <c r="AE254" s="7" t="e">
        <f t="shared" si="27"/>
        <v>#VALUE!</v>
      </c>
    </row>
    <row r="255" spans="11:31" x14ac:dyDescent="0.35">
      <c r="K255">
        <v>255</v>
      </c>
      <c r="X255" s="6" t="e">
        <f t="shared" si="28"/>
        <v>#VALUE!</v>
      </c>
      <c r="Y255" s="7" t="e">
        <f t="shared" si="29"/>
        <v>#VALUE!</v>
      </c>
      <c r="Z255" s="6" t="e">
        <f t="shared" si="24"/>
        <v>#VALUE!</v>
      </c>
      <c r="AA255" s="7" t="e">
        <f t="shared" si="25"/>
        <v>#VALUE!</v>
      </c>
      <c r="AB255" s="6" t="e">
        <f t="shared" si="30"/>
        <v>#VALUE!</v>
      </c>
      <c r="AC255" s="16" t="e">
        <f t="shared" si="31"/>
        <v>#VALUE!</v>
      </c>
      <c r="AD255" s="16" t="e">
        <f t="shared" si="26"/>
        <v>#VALUE!</v>
      </c>
      <c r="AE255" s="7" t="e">
        <f t="shared" si="27"/>
        <v>#VALUE!</v>
      </c>
    </row>
    <row r="256" spans="11:31" x14ac:dyDescent="0.35">
      <c r="K256">
        <v>256</v>
      </c>
      <c r="X256" s="6" t="e">
        <f t="shared" si="28"/>
        <v>#VALUE!</v>
      </c>
      <c r="Y256" s="7" t="e">
        <f t="shared" si="29"/>
        <v>#VALUE!</v>
      </c>
      <c r="Z256" s="6" t="e">
        <f t="shared" si="24"/>
        <v>#VALUE!</v>
      </c>
      <c r="AA256" s="7" t="e">
        <f t="shared" si="25"/>
        <v>#VALUE!</v>
      </c>
      <c r="AB256" s="6" t="e">
        <f t="shared" si="30"/>
        <v>#VALUE!</v>
      </c>
      <c r="AC256" s="16" t="e">
        <f t="shared" si="31"/>
        <v>#VALUE!</v>
      </c>
      <c r="AD256" s="16" t="e">
        <f t="shared" si="26"/>
        <v>#VALUE!</v>
      </c>
      <c r="AE256" s="7" t="e">
        <f t="shared" si="27"/>
        <v>#VALUE!</v>
      </c>
    </row>
    <row r="257" spans="11:31" x14ac:dyDescent="0.35">
      <c r="K257">
        <v>257</v>
      </c>
      <c r="X257" s="6" t="e">
        <f t="shared" si="28"/>
        <v>#VALUE!</v>
      </c>
      <c r="Y257" s="7" t="e">
        <f t="shared" si="29"/>
        <v>#VALUE!</v>
      </c>
      <c r="Z257" s="6" t="e">
        <f t="shared" ref="Z257:Z270" si="32">MOD(X257^3+a*X257+b,prime)</f>
        <v>#VALUE!</v>
      </c>
      <c r="AA257" s="7" t="e">
        <f t="shared" ref="AA257:AA270" si="33">MOD(Y257*Y257,prime)</f>
        <v>#VALUE!</v>
      </c>
      <c r="AB257" s="6" t="e">
        <f t="shared" si="30"/>
        <v>#VALUE!</v>
      </c>
      <c r="AC257" s="16" t="e">
        <f t="shared" si="31"/>
        <v>#VALUE!</v>
      </c>
      <c r="AD257" s="16" t="e">
        <f t="shared" ref="AD257:AD270" si="34">modInv(AC257,prime)</f>
        <v>#VALUE!</v>
      </c>
      <c r="AE257" s="7" t="e">
        <f t="shared" ref="AE257:AE270" si="35">MOD(AB257*AD257,prime)</f>
        <v>#VALUE!</v>
      </c>
    </row>
    <row r="258" spans="11:31" x14ac:dyDescent="0.35">
      <c r="K258">
        <v>258</v>
      </c>
      <c r="X258" s="6" t="e">
        <f t="shared" ref="X258:X270" si="36">MOD(AE257*AE257-X257-$X$1,prime)</f>
        <v>#VALUE!</v>
      </c>
      <c r="Y258" s="7" t="e">
        <f t="shared" ref="Y258:Y270" si="37">MOD(AE257*($X$1-X258)-$Y$1,prime)</f>
        <v>#VALUE!</v>
      </c>
      <c r="Z258" s="6" t="e">
        <f t="shared" si="32"/>
        <v>#VALUE!</v>
      </c>
      <c r="AA258" s="7" t="e">
        <f t="shared" si="33"/>
        <v>#VALUE!</v>
      </c>
      <c r="AB258" s="6" t="e">
        <f t="shared" ref="AB258:AB270" si="38">($Y$1-Y258)</f>
        <v>#VALUE!</v>
      </c>
      <c r="AC258" s="16" t="e">
        <f t="shared" ref="AC258:AC270" si="39">($X$1-X258)</f>
        <v>#VALUE!</v>
      </c>
      <c r="AD258" s="16" t="e">
        <f t="shared" si="34"/>
        <v>#VALUE!</v>
      </c>
      <c r="AE258" s="7" t="e">
        <f t="shared" si="35"/>
        <v>#VALUE!</v>
      </c>
    </row>
    <row r="259" spans="11:31" x14ac:dyDescent="0.35">
      <c r="K259">
        <v>259</v>
      </c>
      <c r="X259" s="6" t="e">
        <f t="shared" si="36"/>
        <v>#VALUE!</v>
      </c>
      <c r="Y259" s="7" t="e">
        <f t="shared" si="37"/>
        <v>#VALUE!</v>
      </c>
      <c r="Z259" s="6" t="e">
        <f t="shared" si="32"/>
        <v>#VALUE!</v>
      </c>
      <c r="AA259" s="7" t="e">
        <f t="shared" si="33"/>
        <v>#VALUE!</v>
      </c>
      <c r="AB259" s="6" t="e">
        <f t="shared" si="38"/>
        <v>#VALUE!</v>
      </c>
      <c r="AC259" s="16" t="e">
        <f t="shared" si="39"/>
        <v>#VALUE!</v>
      </c>
      <c r="AD259" s="16" t="e">
        <f t="shared" si="34"/>
        <v>#VALUE!</v>
      </c>
      <c r="AE259" s="7" t="e">
        <f t="shared" si="35"/>
        <v>#VALUE!</v>
      </c>
    </row>
    <row r="260" spans="11:31" x14ac:dyDescent="0.35">
      <c r="K260">
        <v>260</v>
      </c>
      <c r="X260" s="6" t="e">
        <f t="shared" si="36"/>
        <v>#VALUE!</v>
      </c>
      <c r="Y260" s="7" t="e">
        <f t="shared" si="37"/>
        <v>#VALUE!</v>
      </c>
      <c r="Z260" s="6" t="e">
        <f t="shared" si="32"/>
        <v>#VALUE!</v>
      </c>
      <c r="AA260" s="7" t="e">
        <f t="shared" si="33"/>
        <v>#VALUE!</v>
      </c>
      <c r="AB260" s="6" t="e">
        <f t="shared" si="38"/>
        <v>#VALUE!</v>
      </c>
      <c r="AC260" s="16" t="e">
        <f t="shared" si="39"/>
        <v>#VALUE!</v>
      </c>
      <c r="AD260" s="16" t="e">
        <f t="shared" si="34"/>
        <v>#VALUE!</v>
      </c>
      <c r="AE260" s="7" t="e">
        <f t="shared" si="35"/>
        <v>#VALUE!</v>
      </c>
    </row>
    <row r="261" spans="11:31" x14ac:dyDescent="0.35">
      <c r="K261">
        <v>261</v>
      </c>
      <c r="X261" s="6" t="e">
        <f t="shared" si="36"/>
        <v>#VALUE!</v>
      </c>
      <c r="Y261" s="7" t="e">
        <f t="shared" si="37"/>
        <v>#VALUE!</v>
      </c>
      <c r="Z261" s="6" t="e">
        <f t="shared" si="32"/>
        <v>#VALUE!</v>
      </c>
      <c r="AA261" s="7" t="e">
        <f t="shared" si="33"/>
        <v>#VALUE!</v>
      </c>
      <c r="AB261" s="6" t="e">
        <f t="shared" si="38"/>
        <v>#VALUE!</v>
      </c>
      <c r="AC261" s="16" t="e">
        <f t="shared" si="39"/>
        <v>#VALUE!</v>
      </c>
      <c r="AD261" s="16" t="e">
        <f t="shared" si="34"/>
        <v>#VALUE!</v>
      </c>
      <c r="AE261" s="7" t="e">
        <f t="shared" si="35"/>
        <v>#VALUE!</v>
      </c>
    </row>
    <row r="262" spans="11:31" x14ac:dyDescent="0.35">
      <c r="K262">
        <v>262</v>
      </c>
      <c r="X262" s="6" t="e">
        <f t="shared" si="36"/>
        <v>#VALUE!</v>
      </c>
      <c r="Y262" s="7" t="e">
        <f t="shared" si="37"/>
        <v>#VALUE!</v>
      </c>
      <c r="Z262" s="6" t="e">
        <f t="shared" si="32"/>
        <v>#VALUE!</v>
      </c>
      <c r="AA262" s="7" t="e">
        <f t="shared" si="33"/>
        <v>#VALUE!</v>
      </c>
      <c r="AB262" s="6" t="e">
        <f t="shared" si="38"/>
        <v>#VALUE!</v>
      </c>
      <c r="AC262" s="16" t="e">
        <f t="shared" si="39"/>
        <v>#VALUE!</v>
      </c>
      <c r="AD262" s="16" t="e">
        <f t="shared" si="34"/>
        <v>#VALUE!</v>
      </c>
      <c r="AE262" s="7" t="e">
        <f t="shared" si="35"/>
        <v>#VALUE!</v>
      </c>
    </row>
    <row r="263" spans="11:31" x14ac:dyDescent="0.35">
      <c r="K263">
        <v>263</v>
      </c>
      <c r="X263" s="6" t="e">
        <f t="shared" si="36"/>
        <v>#VALUE!</v>
      </c>
      <c r="Y263" s="7" t="e">
        <f t="shared" si="37"/>
        <v>#VALUE!</v>
      </c>
      <c r="Z263" s="6" t="e">
        <f t="shared" si="32"/>
        <v>#VALUE!</v>
      </c>
      <c r="AA263" s="7" t="e">
        <f t="shared" si="33"/>
        <v>#VALUE!</v>
      </c>
      <c r="AB263" s="6" t="e">
        <f t="shared" si="38"/>
        <v>#VALUE!</v>
      </c>
      <c r="AC263" s="16" t="e">
        <f t="shared" si="39"/>
        <v>#VALUE!</v>
      </c>
      <c r="AD263" s="16" t="e">
        <f t="shared" si="34"/>
        <v>#VALUE!</v>
      </c>
      <c r="AE263" s="7" t="e">
        <f t="shared" si="35"/>
        <v>#VALUE!</v>
      </c>
    </row>
    <row r="264" spans="11:31" x14ac:dyDescent="0.35">
      <c r="K264">
        <v>264</v>
      </c>
      <c r="X264" s="6" t="e">
        <f t="shared" si="36"/>
        <v>#VALUE!</v>
      </c>
      <c r="Y264" s="7" t="e">
        <f t="shared" si="37"/>
        <v>#VALUE!</v>
      </c>
      <c r="Z264" s="6" t="e">
        <f t="shared" si="32"/>
        <v>#VALUE!</v>
      </c>
      <c r="AA264" s="7" t="e">
        <f t="shared" si="33"/>
        <v>#VALUE!</v>
      </c>
      <c r="AB264" s="6" t="e">
        <f t="shared" si="38"/>
        <v>#VALUE!</v>
      </c>
      <c r="AC264" s="16" t="e">
        <f t="shared" si="39"/>
        <v>#VALUE!</v>
      </c>
      <c r="AD264" s="16" t="e">
        <f t="shared" si="34"/>
        <v>#VALUE!</v>
      </c>
      <c r="AE264" s="7" t="e">
        <f t="shared" si="35"/>
        <v>#VALUE!</v>
      </c>
    </row>
    <row r="265" spans="11:31" x14ac:dyDescent="0.35">
      <c r="K265">
        <v>265</v>
      </c>
      <c r="X265" s="6" t="e">
        <f t="shared" si="36"/>
        <v>#VALUE!</v>
      </c>
      <c r="Y265" s="7" t="e">
        <f t="shared" si="37"/>
        <v>#VALUE!</v>
      </c>
      <c r="Z265" s="6" t="e">
        <f t="shared" si="32"/>
        <v>#VALUE!</v>
      </c>
      <c r="AA265" s="7" t="e">
        <f t="shared" si="33"/>
        <v>#VALUE!</v>
      </c>
      <c r="AB265" s="6" t="e">
        <f t="shared" si="38"/>
        <v>#VALUE!</v>
      </c>
      <c r="AC265" s="16" t="e">
        <f t="shared" si="39"/>
        <v>#VALUE!</v>
      </c>
      <c r="AD265" s="16" t="e">
        <f t="shared" si="34"/>
        <v>#VALUE!</v>
      </c>
      <c r="AE265" s="7" t="e">
        <f t="shared" si="35"/>
        <v>#VALUE!</v>
      </c>
    </row>
    <row r="266" spans="11:31" x14ac:dyDescent="0.35">
      <c r="K266">
        <v>266</v>
      </c>
      <c r="X266" s="6" t="e">
        <f t="shared" si="36"/>
        <v>#VALUE!</v>
      </c>
      <c r="Y266" s="7" t="e">
        <f t="shared" si="37"/>
        <v>#VALUE!</v>
      </c>
      <c r="Z266" s="6" t="e">
        <f t="shared" si="32"/>
        <v>#VALUE!</v>
      </c>
      <c r="AA266" s="7" t="e">
        <f t="shared" si="33"/>
        <v>#VALUE!</v>
      </c>
      <c r="AB266" s="6" t="e">
        <f t="shared" si="38"/>
        <v>#VALUE!</v>
      </c>
      <c r="AC266" s="16" t="e">
        <f t="shared" si="39"/>
        <v>#VALUE!</v>
      </c>
      <c r="AD266" s="16" t="e">
        <f t="shared" si="34"/>
        <v>#VALUE!</v>
      </c>
      <c r="AE266" s="7" t="e">
        <f t="shared" si="35"/>
        <v>#VALUE!</v>
      </c>
    </row>
    <row r="267" spans="11:31" x14ac:dyDescent="0.35">
      <c r="K267">
        <v>267</v>
      </c>
      <c r="X267" s="6" t="e">
        <f t="shared" si="36"/>
        <v>#VALUE!</v>
      </c>
      <c r="Y267" s="7" t="e">
        <f t="shared" si="37"/>
        <v>#VALUE!</v>
      </c>
      <c r="Z267" s="6" t="e">
        <f t="shared" si="32"/>
        <v>#VALUE!</v>
      </c>
      <c r="AA267" s="7" t="e">
        <f t="shared" si="33"/>
        <v>#VALUE!</v>
      </c>
      <c r="AB267" s="6" t="e">
        <f t="shared" si="38"/>
        <v>#VALUE!</v>
      </c>
      <c r="AC267" s="16" t="e">
        <f t="shared" si="39"/>
        <v>#VALUE!</v>
      </c>
      <c r="AD267" s="16" t="e">
        <f t="shared" si="34"/>
        <v>#VALUE!</v>
      </c>
      <c r="AE267" s="7" t="e">
        <f t="shared" si="35"/>
        <v>#VALUE!</v>
      </c>
    </row>
    <row r="268" spans="11:31" x14ac:dyDescent="0.35">
      <c r="K268">
        <v>268</v>
      </c>
      <c r="X268" s="6" t="e">
        <f t="shared" si="36"/>
        <v>#VALUE!</v>
      </c>
      <c r="Y268" s="7" t="e">
        <f t="shared" si="37"/>
        <v>#VALUE!</v>
      </c>
      <c r="Z268" s="6" t="e">
        <f t="shared" si="32"/>
        <v>#VALUE!</v>
      </c>
      <c r="AA268" s="7" t="e">
        <f t="shared" si="33"/>
        <v>#VALUE!</v>
      </c>
      <c r="AB268" s="6" t="e">
        <f t="shared" si="38"/>
        <v>#VALUE!</v>
      </c>
      <c r="AC268" s="16" t="e">
        <f t="shared" si="39"/>
        <v>#VALUE!</v>
      </c>
      <c r="AD268" s="16" t="e">
        <f t="shared" si="34"/>
        <v>#VALUE!</v>
      </c>
      <c r="AE268" s="7" t="e">
        <f t="shared" si="35"/>
        <v>#VALUE!</v>
      </c>
    </row>
    <row r="269" spans="11:31" x14ac:dyDescent="0.35">
      <c r="K269">
        <v>269</v>
      </c>
      <c r="X269" s="6" t="e">
        <f t="shared" si="36"/>
        <v>#VALUE!</v>
      </c>
      <c r="Y269" s="7" t="e">
        <f t="shared" si="37"/>
        <v>#VALUE!</v>
      </c>
      <c r="Z269" s="6" t="e">
        <f t="shared" si="32"/>
        <v>#VALUE!</v>
      </c>
      <c r="AA269" s="7" t="e">
        <f t="shared" si="33"/>
        <v>#VALUE!</v>
      </c>
      <c r="AB269" s="6" t="e">
        <f t="shared" si="38"/>
        <v>#VALUE!</v>
      </c>
      <c r="AC269" s="16" t="e">
        <f t="shared" si="39"/>
        <v>#VALUE!</v>
      </c>
      <c r="AD269" s="16" t="e">
        <f t="shared" si="34"/>
        <v>#VALUE!</v>
      </c>
      <c r="AE269" s="7" t="e">
        <f t="shared" si="35"/>
        <v>#VALUE!</v>
      </c>
    </row>
    <row r="270" spans="11:31" x14ac:dyDescent="0.35">
      <c r="K270">
        <v>270</v>
      </c>
      <c r="X270" s="10" t="e">
        <f t="shared" si="36"/>
        <v>#VALUE!</v>
      </c>
      <c r="Y270" s="11" t="e">
        <f t="shared" si="37"/>
        <v>#VALUE!</v>
      </c>
      <c r="Z270" s="10" t="e">
        <f t="shared" si="32"/>
        <v>#VALUE!</v>
      </c>
      <c r="AA270" s="11" t="e">
        <f t="shared" si="33"/>
        <v>#VALUE!</v>
      </c>
      <c r="AB270" s="10" t="e">
        <f t="shared" si="38"/>
        <v>#VALUE!</v>
      </c>
      <c r="AC270" s="17" t="e">
        <f t="shared" si="39"/>
        <v>#VALUE!</v>
      </c>
      <c r="AD270" s="17" t="e">
        <f t="shared" si="34"/>
        <v>#VALUE!</v>
      </c>
      <c r="AE270" s="11" t="e">
        <f t="shared" si="35"/>
        <v>#VALUE!</v>
      </c>
    </row>
  </sheetData>
  <sortState ref="A34:G44">
    <sortCondition descending="1" ref="B34:B44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EC</vt:lpstr>
      <vt:lpstr>Finite Fied</vt:lpstr>
      <vt:lpstr>a</vt:lpstr>
      <vt:lpstr>b</vt:lpstr>
      <vt:lpstr>Gx</vt:lpstr>
      <vt:lpstr>Gy</vt:lpstr>
      <vt:lpstr>prime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Ferdinando Ametrano</cp:lastModifiedBy>
  <dcterms:created xsi:type="dcterms:W3CDTF">2016-03-27T17:45:48Z</dcterms:created>
  <dcterms:modified xsi:type="dcterms:W3CDTF">2018-05-19T14:37:14Z</dcterms:modified>
</cp:coreProperties>
</file>